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ubham\Downloads\Compressed\part 3\"/>
    </mc:Choice>
  </mc:AlternateContent>
  <bookViews>
    <workbookView xWindow="0" yWindow="0" windowWidth="20490" windowHeight="7755" activeTab="1"/>
  </bookViews>
  <sheets>
    <sheet name="Main" sheetId="1" r:id="rId1"/>
    <sheet name="Histogram" sheetId="78" r:id="rId2"/>
    <sheet name="Histogram Data" sheetId="2" r:id="rId3"/>
  </sheets>
  <functionGroups builtInGroupCount="18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52511"/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<sst xmlns="http://schemas.openxmlformats.org/spreadsheetml/2006/main" count="28" uniqueCount="23">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</sst>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-57</c:v>
                </c:pt>
                <c:pt idx="1">
                  <c:v>-51</c:v>
                </c:pt>
                <c:pt idx="2">
                  <c:v>-45</c:v>
                </c:pt>
                <c:pt idx="3">
                  <c:v>-39</c:v>
                </c:pt>
                <c:pt idx="4">
                  <c:v>-33</c:v>
                </c:pt>
                <c:pt idx="5">
                  <c:v>-27</c:v>
                </c:pt>
                <c:pt idx="6">
                  <c:v>-21</c:v>
                </c:pt>
                <c:pt idx="7">
                  <c:v>-15</c:v>
                </c:pt>
                <c:pt idx="8">
                  <c:v>-9</c:v>
                </c:pt>
                <c:pt idx="9">
                  <c:v>-3</c:v>
                </c:pt>
                <c:pt idx="10">
                  <c:v>3</c:v>
                </c:pt>
                <c:pt idx="11">
                  <c:v>9</c:v>
                </c:pt>
                <c:pt idx="12">
                  <c:v>15</c:v>
                </c:pt>
                <c:pt idx="13">
                  <c:v>21</c:v>
                </c:pt>
                <c:pt idx="14">
                  <c:v>27</c:v>
                </c:pt>
                <c:pt idx="15">
                  <c:v>33</c:v>
                </c:pt>
                <c:pt idx="16">
                  <c:v>39</c:v>
                </c:pt>
                <c:pt idx="17">
                  <c:v>45</c:v>
                </c:pt>
                <c:pt idx="18">
                  <c:v>51</c:v>
                </c:pt>
                <c:pt idx="19">
                  <c:v>57</c:v>
                </c:pt>
                <c:pt idx="20">
                  <c:v>63</c:v>
                </c:pt>
                <c:pt idx="21">
                  <c:v>69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7</c:v>
                </c:pt>
                <c:pt idx="1">
                  <c:v>19</c:v>
                </c:pt>
                <c:pt idx="2">
                  <c:v>25</c:v>
                </c:pt>
                <c:pt idx="3">
                  <c:v>42</c:v>
                </c:pt>
                <c:pt idx="4">
                  <c:v>51</c:v>
                </c:pt>
                <c:pt idx="5">
                  <c:v>71</c:v>
                </c:pt>
                <c:pt idx="6">
                  <c:v>88</c:v>
                </c:pt>
                <c:pt idx="7">
                  <c:v>87</c:v>
                </c:pt>
                <c:pt idx="8">
                  <c:v>108</c:v>
                </c:pt>
                <c:pt idx="9">
                  <c:v>98</c:v>
                </c:pt>
                <c:pt idx="10">
                  <c:v>89</c:v>
                </c:pt>
                <c:pt idx="11">
                  <c:v>88</c:v>
                </c:pt>
                <c:pt idx="12">
                  <c:v>64</c:v>
                </c:pt>
                <c:pt idx="13">
                  <c:v>51</c:v>
                </c:pt>
                <c:pt idx="14">
                  <c:v>37</c:v>
                </c:pt>
                <c:pt idx="15">
                  <c:v>30</c:v>
                </c:pt>
                <c:pt idx="16">
                  <c:v>20</c:v>
                </c:pt>
                <c:pt idx="17">
                  <c:v>9</c:v>
                </c:pt>
                <c:pt idx="18">
                  <c:v>10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4744720"/>
        <c:axId val="-884745264"/>
      </c:barChart>
      <c:catAx>
        <c:axId val="-884744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 Center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884745264"/>
        <c:crosses val="autoZero"/>
        <c:auto val="1"/>
        <c:lblAlgn val="ctr"/>
        <c:lblOffset val="100"/>
        <c:noMultiLvlLbl val="0"/>
      </c:catAx>
      <c:valAx>
        <c:axId val="-88474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884744720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tabSelected="1" zoomScale="7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1781175</xdr:colOff>
          <xdr:row>25</xdr:row>
          <xdr:rowOff>161925</xdr:rowOff>
        </xdr:from>
        <xdr:to>
          <xdr:col>4</xdr:col>
          <xdr:colOff>800100</xdr:colOff>
          <xdr:row>27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937" cy="606380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7"/>
  <sheetViews>
    <sheetView workbookViewId="0">
      <selection activeCell="O3" sqref="O3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1.85546875" bestFit="1" customWidth="1"/>
    <col min="8" max="8" width="11" customWidth="1"/>
    <col min="9" max="10" width="9.140625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5">
        <v>-20</v>
      </c>
      <c r="D3" t="s">
        <v>2</v>
      </c>
      <c r="E3" s="15">
        <v>44.865695238113403</v>
      </c>
      <c r="G3" t="s">
        <v>3</v>
      </c>
      <c r="H3" s="5">
        <v>-7.8433891201832662</v>
      </c>
    </row>
    <row r="4" spans="1:16" ht="15.75" thickBot="1" x14ac:dyDescent="0.3">
      <c r="A4" t="s">
        <v>4</v>
      </c>
      <c r="B4" s="6">
        <v>-17.474431991577148</v>
      </c>
      <c r="D4" t="s">
        <v>5</v>
      </c>
      <c r="E4" s="7">
        <v>0.4</v>
      </c>
      <c r="G4" t="s">
        <v>6</v>
      </c>
      <c r="H4" s="8">
        <v>0.10668615102767945</v>
      </c>
    </row>
    <row r="5" spans="1:16" x14ac:dyDescent="0.25">
      <c r="A5" t="s">
        <v>7</v>
      </c>
      <c r="B5" s="9">
        <v>-86.777589126081693</v>
      </c>
      <c r="H5" s="10"/>
    </row>
    <row r="6" spans="1:16" x14ac:dyDescent="0.25">
      <c r="A6" t="s">
        <v>8</v>
      </c>
      <c r="B6" s="9">
        <v>-22.785050451755524</v>
      </c>
      <c r="E6" t="s">
        <v>9</v>
      </c>
      <c r="H6" s="10"/>
    </row>
    <row r="7" spans="1:16" ht="15.75" thickBot="1" x14ac:dyDescent="0.3">
      <c r="A7" t="s">
        <v>10</v>
      </c>
      <c r="B7" s="14">
        <v>-13.250321329889475</v>
      </c>
      <c r="E7" t="s">
        <v>11</v>
      </c>
      <c r="H7" s="10"/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11">
        <f>0.5*CTDC</f>
        <v>-43.388794563040847</v>
      </c>
      <c r="C10" s="11"/>
      <c r="D10" s="11">
        <f>Cland</f>
        <v>-20</v>
      </c>
      <c r="E10" s="11"/>
      <c r="F10" s="11"/>
      <c r="G10" s="11"/>
      <c r="H10" s="11"/>
      <c r="I10" s="11"/>
      <c r="J10" s="11"/>
      <c r="L10">
        <f>B10+D10</f>
        <v>-63.388794563040847</v>
      </c>
      <c r="M10" s="11">
        <f t="shared" ref="M10:M24" si="0">L10/(1+i)^(A10-1)</f>
        <v>-63.388794563040847</v>
      </c>
      <c r="N10" s="11">
        <f>M10</f>
        <v>-63.388794563040847</v>
      </c>
    </row>
    <row r="11" spans="1:16" x14ac:dyDescent="0.25">
      <c r="A11">
        <v>2</v>
      </c>
      <c r="B11" s="11">
        <f>0.5*CTDC</f>
        <v>-43.388794563040847</v>
      </c>
      <c r="C11" s="11">
        <f>WC</f>
        <v>-22.785050451755524</v>
      </c>
      <c r="D11" s="11"/>
      <c r="E11" s="11"/>
      <c r="F11" s="11">
        <f>Cstart</f>
        <v>-13.250321329889475</v>
      </c>
      <c r="G11" s="11"/>
      <c r="H11" s="11"/>
      <c r="I11" s="11"/>
      <c r="J11" s="11"/>
      <c r="L11">
        <f>B11+C11+F11</f>
        <v>-79.424166344685844</v>
      </c>
      <c r="M11" s="11">
        <f t="shared" si="0"/>
        <v>-71.767561445430388</v>
      </c>
      <c r="N11" s="11">
        <f>N10+M11</f>
        <v>-135.15635600847122</v>
      </c>
    </row>
    <row r="12" spans="1:16" x14ac:dyDescent="0.25">
      <c r="A12">
        <v>3</v>
      </c>
      <c r="B12" s="11"/>
      <c r="C12" s="11"/>
      <c r="D12" s="11"/>
      <c r="E12" s="11">
        <f t="shared" ref="E12:E24" si="1">Croyal</f>
        <v>-17.474431991577148</v>
      </c>
      <c r="F12" s="11"/>
      <c r="G12" s="11"/>
      <c r="H12" s="11">
        <f>P12*-CTDC</f>
        <v>12.400517486117074</v>
      </c>
      <c r="I12" s="11">
        <f>0.5*S</f>
        <v>22.432847619056702</v>
      </c>
      <c r="J12" s="11">
        <f>0.5*COS</f>
        <v>-3.9216945600916331</v>
      </c>
      <c r="K12" s="11">
        <f>(1-tax)*(I12-J12-H12)</f>
        <v>8.3724148158187557</v>
      </c>
      <c r="L12" s="11">
        <f t="shared" ref="L12:L23" si="2">K12+H12+E12</f>
        <v>3.2985003103586834</v>
      </c>
      <c r="M12" s="11">
        <f t="shared" si="0"/>
        <v>2.6931936310512237</v>
      </c>
      <c r="N12" s="11">
        <f t="shared" ref="N12:N23" si="3">N11+M12</f>
        <v>-132.46316237741999</v>
      </c>
      <c r="P12" s="12">
        <v>0.1429</v>
      </c>
    </row>
    <row r="13" spans="1:16" x14ac:dyDescent="0.25">
      <c r="A13">
        <v>4</v>
      </c>
      <c r="B13" s="11"/>
      <c r="C13" s="11"/>
      <c r="D13" s="11"/>
      <c r="E13" s="11">
        <f t="shared" si="1"/>
        <v>-17.474431991577148</v>
      </c>
      <c r="F13" s="11"/>
      <c r="G13" s="11"/>
      <c r="H13" s="11">
        <f t="shared" ref="H13:H19" si="4">P13*-CTDC</f>
        <v>21.251831576977406</v>
      </c>
      <c r="I13" s="11">
        <f>0.8*S</f>
        <v>35.892556190490723</v>
      </c>
      <c r="J13" s="11">
        <f>0.8*COS</f>
        <v>-6.2747112961466129</v>
      </c>
      <c r="K13" s="11">
        <f t="shared" ref="K13:K24" si="5">(1-tax)*(I13-J13-H13)</f>
        <v>12.549261545795957</v>
      </c>
      <c r="L13" s="11">
        <f t="shared" si="2"/>
        <v>16.326661131196218</v>
      </c>
      <c r="M13" s="11">
        <f t="shared" si="0"/>
        <v>12.045475622806624</v>
      </c>
      <c r="N13" s="11">
        <f t="shared" si="3"/>
        <v>-120.41768675461337</v>
      </c>
      <c r="P13" s="12">
        <v>0.24490000000000001</v>
      </c>
    </row>
    <row r="14" spans="1:16" x14ac:dyDescent="0.25">
      <c r="A14">
        <v>5</v>
      </c>
      <c r="B14" s="11"/>
      <c r="C14" s="11"/>
      <c r="D14" s="11"/>
      <c r="E14" s="11">
        <f t="shared" si="1"/>
        <v>-17.474431991577148</v>
      </c>
      <c r="F14" s="11"/>
      <c r="G14" s="11"/>
      <c r="H14" s="11">
        <f t="shared" si="4"/>
        <v>15.177400338151688</v>
      </c>
      <c r="I14" s="11">
        <f t="shared" ref="I14:I24" si="6">S</f>
        <v>44.865695238113403</v>
      </c>
      <c r="J14" s="11">
        <f t="shared" ref="J14:J24" si="7">COS</f>
        <v>-7.8433891201832662</v>
      </c>
      <c r="K14" s="11">
        <f t="shared" si="5"/>
        <v>22.519010412086988</v>
      </c>
      <c r="L14" s="11">
        <f t="shared" si="2"/>
        <v>20.221978758661528</v>
      </c>
      <c r="M14" s="11">
        <f t="shared" si="0"/>
        <v>13.481112994574135</v>
      </c>
      <c r="N14" s="11">
        <f t="shared" si="3"/>
        <v>-106.93657376003924</v>
      </c>
      <c r="P14" s="12">
        <v>0.1749</v>
      </c>
    </row>
    <row r="15" spans="1:16" x14ac:dyDescent="0.25">
      <c r="A15">
        <v>6</v>
      </c>
      <c r="B15" s="11"/>
      <c r="C15" s="11"/>
      <c r="D15" s="11"/>
      <c r="E15" s="11">
        <f t="shared" si="1"/>
        <v>-17.474431991577148</v>
      </c>
      <c r="F15" s="11"/>
      <c r="G15" s="11"/>
      <c r="H15" s="11">
        <f t="shared" si="4"/>
        <v>10.838520881847604</v>
      </c>
      <c r="I15" s="11">
        <f t="shared" si="6"/>
        <v>44.865695238113403</v>
      </c>
      <c r="J15" s="11">
        <f t="shared" si="7"/>
        <v>-7.8433891201832662</v>
      </c>
      <c r="K15" s="11">
        <f t="shared" si="5"/>
        <v>25.122338085869437</v>
      </c>
      <c r="L15" s="11">
        <f t="shared" si="2"/>
        <v>18.486426976139896</v>
      </c>
      <c r="M15" s="11">
        <f t="shared" si="0"/>
        <v>11.136035412270083</v>
      </c>
      <c r="N15" s="11">
        <f t="shared" si="3"/>
        <v>-95.800538347769162</v>
      </c>
      <c r="P15" s="12">
        <v>0.1249</v>
      </c>
    </row>
    <row r="16" spans="1:16" x14ac:dyDescent="0.25">
      <c r="A16">
        <v>7</v>
      </c>
      <c r="B16" s="11"/>
      <c r="C16" s="11"/>
      <c r="D16" s="11"/>
      <c r="E16" s="11">
        <f t="shared" si="1"/>
        <v>-17.474431991577148</v>
      </c>
      <c r="F16" s="11"/>
      <c r="G16" s="11"/>
      <c r="H16" s="11">
        <f t="shared" si="4"/>
        <v>7.7492387089590959</v>
      </c>
      <c r="I16" s="11">
        <f t="shared" si="6"/>
        <v>44.865695238113403</v>
      </c>
      <c r="J16" s="11">
        <f t="shared" si="7"/>
        <v>-7.8433891201832662</v>
      </c>
      <c r="K16" s="11">
        <f t="shared" si="5"/>
        <v>26.975907389602543</v>
      </c>
      <c r="L16" s="11">
        <f t="shared" si="2"/>
        <v>17.250714106984489</v>
      </c>
      <c r="M16" s="11">
        <f t="shared" si="0"/>
        <v>9.3898839795015103</v>
      </c>
      <c r="N16" s="11">
        <f t="shared" si="3"/>
        <v>-86.410654368267657</v>
      </c>
      <c r="P16" s="12">
        <v>8.9300000000000004E-2</v>
      </c>
    </row>
    <row r="17" spans="1:16" x14ac:dyDescent="0.25">
      <c r="A17">
        <v>8</v>
      </c>
      <c r="B17" s="11"/>
      <c r="C17" s="11"/>
      <c r="D17" s="11"/>
      <c r="E17" s="11">
        <f t="shared" si="1"/>
        <v>-17.474431991577148</v>
      </c>
      <c r="F17" s="11"/>
      <c r="G17" s="11"/>
      <c r="H17" s="11">
        <f t="shared" si="4"/>
        <v>7.7405609500464871</v>
      </c>
      <c r="I17" s="11">
        <f t="shared" si="6"/>
        <v>44.865695238113403</v>
      </c>
      <c r="J17" s="11">
        <f t="shared" si="7"/>
        <v>-7.8433891201832662</v>
      </c>
      <c r="K17" s="11">
        <f t="shared" si="5"/>
        <v>26.981114044950111</v>
      </c>
      <c r="L17" s="11">
        <f t="shared" si="2"/>
        <v>17.247243003419449</v>
      </c>
      <c r="M17" s="11">
        <f t="shared" si="0"/>
        <v>8.4829782903363231</v>
      </c>
      <c r="N17" s="11">
        <f t="shared" si="3"/>
        <v>-77.927676077931338</v>
      </c>
      <c r="P17" s="12">
        <v>8.9200000000000002E-2</v>
      </c>
    </row>
    <row r="18" spans="1:16" x14ac:dyDescent="0.25">
      <c r="A18">
        <v>9</v>
      </c>
      <c r="B18" s="11"/>
      <c r="C18" s="11"/>
      <c r="D18" s="11"/>
      <c r="E18" s="11">
        <f t="shared" si="1"/>
        <v>-17.474431991577148</v>
      </c>
      <c r="F18" s="11"/>
      <c r="G18" s="11"/>
      <c r="H18" s="11">
        <f t="shared" si="4"/>
        <v>7.7492387089590959</v>
      </c>
      <c r="I18" s="11">
        <f t="shared" si="6"/>
        <v>44.865695238113403</v>
      </c>
      <c r="J18" s="11">
        <f t="shared" si="7"/>
        <v>-7.8433891201832662</v>
      </c>
      <c r="K18" s="11">
        <f t="shared" si="5"/>
        <v>26.975907389602543</v>
      </c>
      <c r="L18" s="11">
        <f t="shared" si="2"/>
        <v>17.250714106984489</v>
      </c>
      <c r="M18" s="11">
        <f t="shared" si="0"/>
        <v>7.6667495378084256</v>
      </c>
      <c r="N18" s="11">
        <f t="shared" si="3"/>
        <v>-70.26092654012291</v>
      </c>
      <c r="P18" s="12">
        <v>8.9300000000000004E-2</v>
      </c>
    </row>
    <row r="19" spans="1:16" x14ac:dyDescent="0.25">
      <c r="A19">
        <v>10</v>
      </c>
      <c r="B19" s="11"/>
      <c r="C19" s="11"/>
      <c r="D19" s="11"/>
      <c r="E19" s="11">
        <f t="shared" si="1"/>
        <v>-17.474431991577148</v>
      </c>
      <c r="F19" s="11"/>
      <c r="G19" s="11"/>
      <c r="H19" s="11">
        <f t="shared" si="4"/>
        <v>3.8702804750232436</v>
      </c>
      <c r="I19" s="11">
        <f t="shared" si="6"/>
        <v>44.865695238113403</v>
      </c>
      <c r="J19" s="11">
        <f t="shared" si="7"/>
        <v>-7.8433891201832662</v>
      </c>
      <c r="K19" s="11">
        <f t="shared" si="5"/>
        <v>29.303282329964055</v>
      </c>
      <c r="L19" s="11">
        <f t="shared" si="2"/>
        <v>15.69913081341015</v>
      </c>
      <c r="M19" s="11">
        <f t="shared" si="0"/>
        <v>6.3045679653155986</v>
      </c>
      <c r="N19" s="11">
        <f t="shared" si="3"/>
        <v>-63.956358574807311</v>
      </c>
      <c r="P19" s="12">
        <v>4.4600000000000001E-2</v>
      </c>
    </row>
    <row r="20" spans="1:16" x14ac:dyDescent="0.25">
      <c r="A20">
        <v>11</v>
      </c>
      <c r="B20" s="11"/>
      <c r="C20" s="11"/>
      <c r="D20" s="11"/>
      <c r="E20" s="11">
        <f t="shared" si="1"/>
        <v>-17.474431991577148</v>
      </c>
      <c r="F20" s="11"/>
      <c r="G20" s="11"/>
      <c r="H20" s="11"/>
      <c r="I20" s="11">
        <f t="shared" si="6"/>
        <v>44.865695238113403</v>
      </c>
      <c r="J20" s="11">
        <f t="shared" si="7"/>
        <v>-7.8433891201832662</v>
      </c>
      <c r="K20" s="11">
        <f t="shared" si="5"/>
        <v>31.625450614978</v>
      </c>
      <c r="L20" s="11">
        <f t="shared" si="2"/>
        <v>14.151018623400851</v>
      </c>
      <c r="M20" s="11">
        <f t="shared" si="0"/>
        <v>5.1350295832368653</v>
      </c>
      <c r="N20" s="11">
        <f t="shared" si="3"/>
        <v>-58.821328991570446</v>
      </c>
    </row>
    <row r="21" spans="1:16" x14ac:dyDescent="0.25">
      <c r="A21">
        <v>12</v>
      </c>
      <c r="B21" s="11"/>
      <c r="C21" s="11"/>
      <c r="D21" s="11"/>
      <c r="E21" s="11">
        <f t="shared" si="1"/>
        <v>-17.474431991577148</v>
      </c>
      <c r="F21" s="11"/>
      <c r="G21" s="11"/>
      <c r="H21" s="11"/>
      <c r="I21" s="11">
        <f t="shared" si="6"/>
        <v>44.865695238113403</v>
      </c>
      <c r="J21" s="11">
        <f t="shared" si="7"/>
        <v>-7.8433891201832662</v>
      </c>
      <c r="K21" s="11">
        <f t="shared" si="5"/>
        <v>31.625450614978</v>
      </c>
      <c r="L21" s="11">
        <f t="shared" si="2"/>
        <v>14.151018623400851</v>
      </c>
      <c r="M21" s="11">
        <f t="shared" si="0"/>
        <v>4.6400052792459965</v>
      </c>
      <c r="N21" s="11">
        <f t="shared" si="3"/>
        <v>-54.181323712324449</v>
      </c>
    </row>
    <row r="22" spans="1:16" x14ac:dyDescent="0.25">
      <c r="A22">
        <v>13</v>
      </c>
      <c r="B22" s="11"/>
      <c r="C22" s="11"/>
      <c r="D22" s="11"/>
      <c r="E22" s="11">
        <f t="shared" si="1"/>
        <v>-17.474431991577148</v>
      </c>
      <c r="F22" s="11"/>
      <c r="G22" s="11"/>
      <c r="H22" s="11"/>
      <c r="I22" s="11">
        <f t="shared" si="6"/>
        <v>44.865695238113403</v>
      </c>
      <c r="J22" s="11">
        <f t="shared" si="7"/>
        <v>-7.8433891201832662</v>
      </c>
      <c r="K22" s="11">
        <f t="shared" si="5"/>
        <v>31.625450614978</v>
      </c>
      <c r="L22" s="11">
        <f t="shared" si="2"/>
        <v>14.151018623400851</v>
      </c>
      <c r="M22" s="11">
        <f t="shared" si="0"/>
        <v>4.1927020365595453</v>
      </c>
      <c r="N22" s="11">
        <f t="shared" si="3"/>
        <v>-49.988621675764904</v>
      </c>
    </row>
    <row r="23" spans="1:16" ht="15.75" thickBot="1" x14ac:dyDescent="0.3">
      <c r="A23">
        <v>14</v>
      </c>
      <c r="B23" s="11"/>
      <c r="C23" s="11"/>
      <c r="D23" s="11"/>
      <c r="E23" s="11">
        <f t="shared" si="1"/>
        <v>-17.474431991577148</v>
      </c>
      <c r="F23" s="11"/>
      <c r="G23" s="11"/>
      <c r="H23" s="11"/>
      <c r="I23" s="11">
        <f t="shared" si="6"/>
        <v>44.865695238113403</v>
      </c>
      <c r="J23" s="11">
        <f t="shared" si="7"/>
        <v>-7.8433891201832662</v>
      </c>
      <c r="K23" s="11">
        <f t="shared" si="5"/>
        <v>31.625450614978</v>
      </c>
      <c r="L23" s="11">
        <f t="shared" si="2"/>
        <v>14.151018623400851</v>
      </c>
      <c r="M23" s="11">
        <f t="shared" si="0"/>
        <v>3.7885194756129925</v>
      </c>
      <c r="N23" s="11">
        <f t="shared" si="3"/>
        <v>-46.20010220015191</v>
      </c>
    </row>
    <row r="24" spans="1:16" ht="15.75" thickBot="1" x14ac:dyDescent="0.3">
      <c r="A24">
        <v>15</v>
      </c>
      <c r="B24" s="11"/>
      <c r="C24" s="11">
        <f>-WC</f>
        <v>22.785050451755524</v>
      </c>
      <c r="D24" s="11"/>
      <c r="E24" s="11">
        <f t="shared" si="1"/>
        <v>-17.474431991577148</v>
      </c>
      <c r="F24" s="11"/>
      <c r="G24" s="11"/>
      <c r="H24" s="11"/>
      <c r="I24" s="11">
        <f t="shared" si="6"/>
        <v>44.865695238113403</v>
      </c>
      <c r="J24" s="11">
        <f t="shared" si="7"/>
        <v>-7.8433891201832662</v>
      </c>
      <c r="K24" s="11">
        <f t="shared" si="5"/>
        <v>31.625450614978</v>
      </c>
      <c r="L24" s="11">
        <f>C24+K24+G24+E24</f>
        <v>36.936069075156375</v>
      </c>
      <c r="M24" s="11">
        <f t="shared" si="0"/>
        <v>8.9352769923665303</v>
      </c>
      <c r="N24" s="13">
        <f>N23+M24</f>
        <v>-37.264825207785378</v>
      </c>
    </row>
    <row r="25" spans="1:16" x14ac:dyDescent="0.25">
      <c r="C25" s="3"/>
      <c r="D25" s="2"/>
      <c r="E25" s="4"/>
      <c r="F25" s="2"/>
      <c r="G25" s="1"/>
      <c r="H25" s="1"/>
    </row>
    <row r="26" spans="1:16" x14ac:dyDescent="0.25">
      <c r="C26" s="3"/>
      <c r="D26" s="2"/>
      <c r="E26" s="4"/>
      <c r="F26" s="2"/>
      <c r="G26" s="1"/>
      <c r="H26" s="1"/>
    </row>
    <row r="27" spans="1:16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1781175</xdr:colOff>
                    <xdr:row>25</xdr:row>
                    <xdr:rowOff>161925</xdr:rowOff>
                  </from>
                  <to>
                    <xdr:col>4</xdr:col>
                    <xdr:colOff>800100</xdr:colOff>
                    <xdr:row>27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2"/>
  <sheetViews>
    <sheetView workbookViewId="0">
      <selection activeCell="J15" sqref="J15"/>
    </sheetView>
  </sheetViews>
  <sheetFormatPr defaultRowHeight="15" x14ac:dyDescent="0.25"/>
  <sheetData>
    <row r="1" spans="1:2" x14ac:dyDescent="0.25">
      <c r="A1">
        <v>-57</v>
      </c>
      <c r="B1">
        <v>7</v>
      </c>
    </row>
    <row r="2" spans="1:2" x14ac:dyDescent="0.25">
      <c r="A2">
        <v>-51</v>
      </c>
      <c r="B2">
        <v>19</v>
      </c>
    </row>
    <row r="3" spans="1:2" x14ac:dyDescent="0.25">
      <c r="A3">
        <v>-45</v>
      </c>
      <c r="B3">
        <v>25</v>
      </c>
    </row>
    <row r="4" spans="1:2" x14ac:dyDescent="0.25">
      <c r="A4">
        <v>-39</v>
      </c>
      <c r="B4">
        <v>42</v>
      </c>
    </row>
    <row r="5" spans="1:2" x14ac:dyDescent="0.25">
      <c r="A5">
        <v>-33</v>
      </c>
      <c r="B5">
        <v>51</v>
      </c>
    </row>
    <row r="6" spans="1:2" x14ac:dyDescent="0.25">
      <c r="A6">
        <v>-27</v>
      </c>
      <c r="B6">
        <v>71</v>
      </c>
    </row>
    <row r="7" spans="1:2" x14ac:dyDescent="0.25">
      <c r="A7">
        <v>-21</v>
      </c>
      <c r="B7">
        <v>88</v>
      </c>
    </row>
    <row r="8" spans="1:2" x14ac:dyDescent="0.25">
      <c r="A8">
        <v>-15</v>
      </c>
      <c r="B8">
        <v>87</v>
      </c>
    </row>
    <row r="9" spans="1:2" x14ac:dyDescent="0.25">
      <c r="A9">
        <v>-9</v>
      </c>
      <c r="B9">
        <v>108</v>
      </c>
    </row>
    <row r="10" spans="1:2" x14ac:dyDescent="0.25">
      <c r="A10">
        <v>-3</v>
      </c>
      <c r="B10">
        <v>98</v>
      </c>
    </row>
    <row r="11" spans="1:2" x14ac:dyDescent="0.25">
      <c r="A11">
        <v>3</v>
      </c>
      <c r="B11">
        <v>89</v>
      </c>
    </row>
    <row r="12" spans="1:2" x14ac:dyDescent="0.25">
      <c r="A12">
        <v>9</v>
      </c>
      <c r="B12">
        <v>88</v>
      </c>
    </row>
    <row r="13" spans="1:2" x14ac:dyDescent="0.25">
      <c r="A13">
        <v>15</v>
      </c>
      <c r="B13">
        <v>64</v>
      </c>
    </row>
    <row r="14" spans="1:2" x14ac:dyDescent="0.25">
      <c r="A14">
        <v>21</v>
      </c>
      <c r="B14">
        <v>51</v>
      </c>
    </row>
    <row r="15" spans="1:2" x14ac:dyDescent="0.25">
      <c r="A15">
        <v>27</v>
      </c>
      <c r="B15">
        <v>37</v>
      </c>
    </row>
    <row r="16" spans="1:2" x14ac:dyDescent="0.25">
      <c r="A16">
        <v>33</v>
      </c>
      <c r="B16">
        <v>30</v>
      </c>
    </row>
    <row r="17" spans="1:2" x14ac:dyDescent="0.25">
      <c r="A17">
        <v>39</v>
      </c>
      <c r="B17">
        <v>20</v>
      </c>
    </row>
    <row r="18" spans="1:2" x14ac:dyDescent="0.25">
      <c r="A18">
        <v>45</v>
      </c>
      <c r="B18">
        <v>9</v>
      </c>
    </row>
    <row r="19" spans="1:2" x14ac:dyDescent="0.25">
      <c r="A19">
        <v>51</v>
      </c>
      <c r="B19">
        <v>10</v>
      </c>
    </row>
    <row r="20" spans="1:2" x14ac:dyDescent="0.25">
      <c r="A20">
        <v>57</v>
      </c>
      <c r="B20">
        <v>3</v>
      </c>
    </row>
    <row r="21" spans="1:2" x14ac:dyDescent="0.25">
      <c r="A21">
        <v>63</v>
      </c>
      <c r="B21">
        <v>1</v>
      </c>
    </row>
    <row r="22" spans="1:2" x14ac:dyDescent="0.25">
      <c r="A22">
        <v>69</v>
      </c>
      <c r="B2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Shubham</cp:lastModifiedBy>
  <dcterms:created xsi:type="dcterms:W3CDTF">2013-10-29T18:00:12Z</dcterms:created>
  <dcterms:modified xsi:type="dcterms:W3CDTF">2020-05-26T16:03:19Z</dcterms:modified>
</cp:coreProperties>
</file>