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hartsheets/sheet1.xml" ContentType="application/vnd.openxmlformats-officedocument.spreadsheetml.chart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/>
  <bookViews>
    <workbookView xWindow="0" yWindow="0" windowWidth="20490" windowHeight="7755"/>
  </bookViews>
  <sheets>
    <sheet name="Main" sheetId="1" r:id="rId1"/>
    <sheet name="CurveEnvelope" sheetId="9" r:id="rId2"/>
    <sheet name="PumpCurveData" sheetId="2" state="hidden" r:id="rId3"/>
    <sheet name="ControlValve" sheetId="3" state="hidden" r:id="rId4"/>
    <sheet name="Pipe" sheetId="4" state="hidden" r:id="rId5"/>
  </sheets>
  <functionGroups/>
  <calcPr calcId="124519"/>
  <fileRecoveryPr repairLoad="1"/>
</workbook>
</file>

<file path=xl/calcChain.xml><?xml version="1.0" encoding="utf-8"?>
<calcChain xmlns="http://schemas.openxmlformats.org/spreadsheetml/2006/main">
  <c r="F3" i="4"/>
  <c r="F4"/>
  <c r="F5"/>
  <c r="F6"/>
  <c r="F7"/>
  <c r="F8"/>
  <c r="F9"/>
  <c r="F10"/>
  <c r="F11"/>
  <c r="F12"/>
  <c r="F13"/>
  <c r="F14"/>
  <c r="F15"/>
  <c r="F16"/>
  <c r="F17"/>
  <c r="F18"/>
  <c r="F19"/>
  <c r="F20"/>
  <c r="F21"/>
  <c r="F22"/>
  <c r="F23"/>
  <c r="F24"/>
  <c r="F25"/>
  <c r="F26"/>
  <c r="F27"/>
  <c r="F28"/>
  <c r="F29"/>
  <c r="F30"/>
  <c r="F31"/>
  <c r="F32"/>
  <c r="F33"/>
  <c r="F34"/>
  <c r="F35"/>
  <c r="F36"/>
  <c r="F37"/>
  <c r="F38"/>
  <c r="F39"/>
  <c r="F40"/>
  <c r="F41"/>
  <c r="F42"/>
  <c r="F43"/>
  <c r="F44"/>
  <c r="F45"/>
  <c r="F46"/>
  <c r="F47"/>
  <c r="F48"/>
  <c r="F49"/>
  <c r="F50"/>
  <c r="F51"/>
  <c r="F52"/>
  <c r="F53"/>
  <c r="F54"/>
  <c r="F55"/>
  <c r="F56"/>
  <c r="F57"/>
  <c r="F58"/>
  <c r="F59"/>
  <c r="F60"/>
  <c r="F61"/>
  <c r="F62"/>
  <c r="F63"/>
  <c r="F64"/>
  <c r="F65"/>
  <c r="F66"/>
  <c r="F67"/>
  <c r="F68"/>
  <c r="F69"/>
  <c r="F70"/>
  <c r="F71"/>
  <c r="F72"/>
  <c r="F73"/>
  <c r="F74"/>
  <c r="F75"/>
  <c r="F76"/>
  <c r="F77"/>
  <c r="F78"/>
  <c r="F79"/>
  <c r="F80"/>
  <c r="F81"/>
  <c r="F82"/>
  <c r="F83"/>
  <c r="F84"/>
  <c r="F85"/>
  <c r="F86"/>
  <c r="F87"/>
  <c r="F88"/>
  <c r="F89"/>
  <c r="F90"/>
  <c r="F91"/>
  <c r="F92"/>
  <c r="F93"/>
  <c r="F94"/>
  <c r="F95"/>
  <c r="F96"/>
  <c r="F97"/>
  <c r="F98"/>
  <c r="F99"/>
  <c r="F100"/>
  <c r="F101"/>
  <c r="F102"/>
  <c r="F103"/>
  <c r="F104"/>
  <c r="F105"/>
  <c r="F106"/>
  <c r="F107"/>
  <c r="F108"/>
  <c r="F109"/>
  <c r="F110"/>
  <c r="F111"/>
  <c r="F112"/>
  <c r="F113"/>
  <c r="F114"/>
  <c r="F115"/>
  <c r="F116"/>
  <c r="F117"/>
  <c r="F118"/>
  <c r="F119"/>
  <c r="F120"/>
  <c r="F121"/>
  <c r="F122"/>
  <c r="F123"/>
  <c r="F124"/>
  <c r="F125"/>
  <c r="F126"/>
  <c r="F127"/>
  <c r="F128"/>
  <c r="F129"/>
  <c r="F130"/>
  <c r="F131"/>
  <c r="F132"/>
  <c r="F133"/>
  <c r="F134"/>
  <c r="F135"/>
  <c r="F136"/>
  <c r="F137"/>
  <c r="F138"/>
  <c r="F139"/>
  <c r="F140"/>
  <c r="F141"/>
  <c r="F142"/>
  <c r="F143"/>
  <c r="F144"/>
  <c r="F145"/>
  <c r="F146"/>
  <c r="F147"/>
  <c r="F148"/>
  <c r="F149"/>
  <c r="F150"/>
  <c r="F151"/>
  <c r="F152"/>
  <c r="F153"/>
  <c r="F154"/>
  <c r="F155"/>
  <c r="F156"/>
  <c r="F157"/>
  <c r="F158"/>
  <c r="F159"/>
  <c r="F160"/>
  <c r="F161"/>
  <c r="F162"/>
  <c r="F163"/>
  <c r="F164"/>
  <c r="F165"/>
  <c r="F166"/>
  <c r="F167"/>
  <c r="F168"/>
  <c r="F169"/>
  <c r="F170"/>
  <c r="F171"/>
  <c r="F172"/>
  <c r="F173"/>
  <c r="F174"/>
  <c r="F175"/>
  <c r="F176"/>
  <c r="F177"/>
  <c r="F178"/>
  <c r="F179"/>
  <c r="F180"/>
  <c r="F181"/>
  <c r="F182"/>
  <c r="F183"/>
  <c r="F184"/>
  <c r="F185"/>
  <c r="F186"/>
  <c r="F187"/>
  <c r="F188"/>
  <c r="F189"/>
  <c r="F190"/>
  <c r="F191"/>
  <c r="F192"/>
  <c r="F193"/>
  <c r="F194"/>
  <c r="F195"/>
  <c r="F196"/>
  <c r="F197"/>
  <c r="F198"/>
  <c r="F199"/>
  <c r="F200"/>
  <c r="F201"/>
  <c r="F202"/>
  <c r="F203"/>
  <c r="F2"/>
</calcChain>
</file>

<file path=xl/sharedStrings.xml><?xml version="1.0" encoding="utf-8"?>
<sst xmlns="http://schemas.openxmlformats.org/spreadsheetml/2006/main" count="126" uniqueCount="38">
  <si>
    <t>Flow</t>
  </si>
  <si>
    <t>Head</t>
  </si>
  <si>
    <t>Linear</t>
  </si>
  <si>
    <t>1-1.25</t>
  </si>
  <si>
    <t>Cv</t>
  </si>
  <si>
    <t>Fl</t>
  </si>
  <si>
    <t>Quick Opening</t>
  </si>
  <si>
    <t>Equal Percentage</t>
  </si>
  <si>
    <t>10S</t>
  </si>
  <si>
    <t>40STD, 40S</t>
  </si>
  <si>
    <t>80XS, 80S</t>
  </si>
  <si>
    <t>5S</t>
  </si>
  <si>
    <t>XXS</t>
  </si>
  <si>
    <t>60XS, 80S</t>
  </si>
  <si>
    <t>140, XXS</t>
  </si>
  <si>
    <t>STD, 40S</t>
  </si>
  <si>
    <t>XS, 80S</t>
  </si>
  <si>
    <t>120, XXS</t>
  </si>
  <si>
    <t>30, STD</t>
  </si>
  <si>
    <t>XS</t>
  </si>
  <si>
    <t>30, ST</t>
  </si>
  <si>
    <t>40, XS</t>
  </si>
  <si>
    <t>STD</t>
  </si>
  <si>
    <t>20, STD</t>
  </si>
  <si>
    <t>30, XS</t>
  </si>
  <si>
    <t>10, 10S</t>
  </si>
  <si>
    <t>20, XS</t>
  </si>
  <si>
    <t>ST</t>
  </si>
  <si>
    <t>10S, 10</t>
  </si>
  <si>
    <t>W.T(mm)</t>
  </si>
  <si>
    <t>Schedule</t>
  </si>
  <si>
    <t>Size</t>
  </si>
  <si>
    <t>OD(inch)</t>
  </si>
  <si>
    <t>CSA</t>
  </si>
  <si>
    <t>I.D(m)</t>
  </si>
  <si>
    <t>20%CV</t>
  </si>
  <si>
    <t>30%CV</t>
  </si>
  <si>
    <t>flow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</si>
</sst>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NumberFormat="1"/>
    <xf numFmtId="9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2.xml"/><Relationship Id="rId7" Type="http://schemas.openxmlformats.org/officeDocument/2006/relationships/styles" Target="style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4.xml"/><Relationship Id="rId10" Type="http://schemas.microsoft.com/office/2006/relationships/vbaProject" Target="vbaProject.bin"/><Relationship Id="rId4" Type="http://schemas.openxmlformats.org/officeDocument/2006/relationships/worksheet" Target="worksheets/sheet3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IN"/>
  <c:chart>
    <c:plotArea>
      <c:layout/>
      <c:scatterChart>
        <c:scatterStyle val="lineMarker"/>
        <c:ser>
          <c:idx val="0"/>
          <c:order val="0"/>
          <c:tx>
            <c:v>Pump C Curve</c:v>
          </c:tx>
          <c:xVal>
            <c:numRef>
              <c:f>PumpCurveData!$A$2:$A$12</c:f>
              <c:numCache>
                <c:formatCode>General</c:formatCode>
                <c:ptCount val="11"/>
                <c:pt idx="0">
                  <c:v>0</c:v>
                </c:pt>
                <c:pt idx="1">
                  <c:v>23</c:v>
                </c:pt>
                <c:pt idx="2">
                  <c:v>46</c:v>
                </c:pt>
                <c:pt idx="3">
                  <c:v>69</c:v>
                </c:pt>
                <c:pt idx="4">
                  <c:v>92</c:v>
                </c:pt>
                <c:pt idx="5">
                  <c:v>115</c:v>
                </c:pt>
                <c:pt idx="6">
                  <c:v>138</c:v>
                </c:pt>
                <c:pt idx="7">
                  <c:v>161</c:v>
                </c:pt>
                <c:pt idx="8">
                  <c:v>184</c:v>
                </c:pt>
                <c:pt idx="9">
                  <c:v>207</c:v>
                </c:pt>
                <c:pt idx="10">
                  <c:v>230</c:v>
                </c:pt>
              </c:numCache>
            </c:numRef>
          </c:xVal>
          <c:yVal>
            <c:numRef>
              <c:f>PumpCurveData!$B$2:$B$12</c:f>
              <c:numCache>
                <c:formatCode>General</c:formatCode>
                <c:ptCount val="11"/>
                <c:pt idx="0">
                  <c:v>9</c:v>
                </c:pt>
                <c:pt idx="1">
                  <c:v>8.1</c:v>
                </c:pt>
                <c:pt idx="2">
                  <c:v>7.5</c:v>
                </c:pt>
                <c:pt idx="3">
                  <c:v>7</c:v>
                </c:pt>
                <c:pt idx="4">
                  <c:v>6.5</c:v>
                </c:pt>
                <c:pt idx="5">
                  <c:v>6</c:v>
                </c:pt>
                <c:pt idx="6">
                  <c:v>5.5</c:v>
                </c:pt>
                <c:pt idx="7">
                  <c:v>5</c:v>
                </c:pt>
                <c:pt idx="8">
                  <c:v>4.5</c:v>
                </c:pt>
                <c:pt idx="9">
                  <c:v>4</c:v>
                </c:pt>
                <c:pt idx="10">
                  <c:v>3</c:v>
                </c:pt>
              </c:numCache>
            </c:numRef>
          </c:yVal>
        </c:ser>
        <c:ser>
          <c:idx val="1"/>
          <c:order val="1"/>
          <c:tx>
            <c:v>%20CV</c:v>
          </c:tx>
          <c:xVal>
            <c:numRef>
              <c:f>PumpCurveData!$D$2:$D$12</c:f>
              <c:numCache>
                <c:formatCode>General</c:formatCode>
                <c:ptCount val="11"/>
                <c:pt idx="0">
                  <c:v>0</c:v>
                </c:pt>
                <c:pt idx="1">
                  <c:v>23.2</c:v>
                </c:pt>
                <c:pt idx="2">
                  <c:v>46.4</c:v>
                </c:pt>
                <c:pt idx="3">
                  <c:v>69.599999999999994</c:v>
                </c:pt>
                <c:pt idx="4">
                  <c:v>92.8</c:v>
                </c:pt>
                <c:pt idx="5">
                  <c:v>116</c:v>
                </c:pt>
                <c:pt idx="6">
                  <c:v>139.19999999999999</c:v>
                </c:pt>
                <c:pt idx="7">
                  <c:v>162.4</c:v>
                </c:pt>
                <c:pt idx="8">
                  <c:v>185.6</c:v>
                </c:pt>
                <c:pt idx="9">
                  <c:v>208.8</c:v>
                </c:pt>
                <c:pt idx="10">
                  <c:v>232</c:v>
                </c:pt>
              </c:numCache>
            </c:numRef>
          </c:xVal>
          <c:yVal>
            <c:numRef>
              <c:f>PumpCurveData!$E$2:$E$12</c:f>
              <c:numCache>
                <c:formatCode>General</c:formatCode>
                <c:ptCount val="11"/>
                <c:pt idx="0">
                  <c:v>0.81</c:v>
                </c:pt>
                <c:pt idx="1">
                  <c:v>1.1882185363371645</c:v>
                </c:pt>
                <c:pt idx="2">
                  <c:v>2.304554145348658</c:v>
                </c:pt>
                <c:pt idx="3">
                  <c:v>4.1544668270344811</c:v>
                </c:pt>
                <c:pt idx="4">
                  <c:v>6.7366365813946318</c:v>
                </c:pt>
                <c:pt idx="5">
                  <c:v>10.050453408429115</c:v>
                </c:pt>
                <c:pt idx="6">
                  <c:v>14.095527308137925</c:v>
                </c:pt>
                <c:pt idx="7">
                  <c:v>18.871658280521068</c:v>
                </c:pt>
                <c:pt idx="8">
                  <c:v>24.378676325578528</c:v>
                </c:pt>
                <c:pt idx="9">
                  <c:v>30.616461443310332</c:v>
                </c:pt>
                <c:pt idx="10">
                  <c:v>37.584933633716467</c:v>
                </c:pt>
              </c:numCache>
            </c:numRef>
          </c:yVal>
        </c:ser>
        <c:ser>
          <c:idx val="2"/>
          <c:order val="2"/>
          <c:tx>
            <c:v>%30CV</c:v>
          </c:tx>
          <c:xVal>
            <c:numRef>
              <c:f>PumpCurveData!$D$2:$D$12</c:f>
              <c:numCache>
                <c:formatCode>General</c:formatCode>
                <c:ptCount val="11"/>
                <c:pt idx="0">
                  <c:v>0</c:v>
                </c:pt>
                <c:pt idx="1">
                  <c:v>23.2</c:v>
                </c:pt>
                <c:pt idx="2">
                  <c:v>46.4</c:v>
                </c:pt>
                <c:pt idx="3">
                  <c:v>69.599999999999994</c:v>
                </c:pt>
                <c:pt idx="4">
                  <c:v>92.8</c:v>
                </c:pt>
                <c:pt idx="5">
                  <c:v>116</c:v>
                </c:pt>
                <c:pt idx="6">
                  <c:v>139.19999999999999</c:v>
                </c:pt>
                <c:pt idx="7">
                  <c:v>162.4</c:v>
                </c:pt>
                <c:pt idx="8">
                  <c:v>185.6</c:v>
                </c:pt>
                <c:pt idx="9">
                  <c:v>208.8</c:v>
                </c:pt>
                <c:pt idx="10">
                  <c:v>232</c:v>
                </c:pt>
              </c:numCache>
            </c:numRef>
          </c:xVal>
          <c:yVal>
            <c:numRef>
              <c:f>PumpCurveData!$F$2:$F$12</c:f>
              <c:numCache>
                <c:formatCode>General</c:formatCode>
                <c:ptCount val="11"/>
                <c:pt idx="0">
                  <c:v>0.81</c:v>
                </c:pt>
                <c:pt idx="1">
                  <c:v>1.0014082383720733</c:v>
                </c:pt>
                <c:pt idx="2">
                  <c:v>1.5573129534882928</c:v>
                </c:pt>
                <c:pt idx="3">
                  <c:v>2.4731741453486586</c:v>
                </c:pt>
                <c:pt idx="4">
                  <c:v>3.7476718139531706</c:v>
                </c:pt>
                <c:pt idx="5">
                  <c:v>5.3801959593018305</c:v>
                </c:pt>
                <c:pt idx="6">
                  <c:v>7.3703565813946339</c:v>
                </c:pt>
                <c:pt idx="7">
                  <c:v>9.7179536802315862</c:v>
                </c:pt>
                <c:pt idx="8">
                  <c:v>12.422817255812681</c:v>
                </c:pt>
                <c:pt idx="9">
                  <c:v>15.48482730813793</c:v>
                </c:pt>
                <c:pt idx="10">
                  <c:v>18.90390383720732</c:v>
                </c:pt>
              </c:numCache>
            </c:numRef>
          </c:yVal>
        </c:ser>
        <c:ser>
          <c:idx val="3"/>
          <c:order val="3"/>
          <c:tx>
            <c:v>%40CV</c:v>
          </c:tx>
          <c:xVal>
            <c:numRef>
              <c:f>PumpCurveData!$D$2:$D$12</c:f>
              <c:numCache>
                <c:formatCode>General</c:formatCode>
                <c:ptCount val="11"/>
                <c:pt idx="0">
                  <c:v>0</c:v>
                </c:pt>
                <c:pt idx="1">
                  <c:v>23.2</c:v>
                </c:pt>
                <c:pt idx="2">
                  <c:v>46.4</c:v>
                </c:pt>
                <c:pt idx="3">
                  <c:v>69.599999999999994</c:v>
                </c:pt>
                <c:pt idx="4">
                  <c:v>92.8</c:v>
                </c:pt>
                <c:pt idx="5">
                  <c:v>116</c:v>
                </c:pt>
                <c:pt idx="6">
                  <c:v>139.19999999999999</c:v>
                </c:pt>
                <c:pt idx="7">
                  <c:v>162.4</c:v>
                </c:pt>
                <c:pt idx="8">
                  <c:v>185.6</c:v>
                </c:pt>
                <c:pt idx="9">
                  <c:v>208.8</c:v>
                </c:pt>
                <c:pt idx="10">
                  <c:v>232</c:v>
                </c:pt>
              </c:numCache>
            </c:numRef>
          </c:xVal>
          <c:yVal>
            <c:numRef>
              <c:f>PumpCurveData!$G$2:$G$12</c:f>
              <c:numCache>
                <c:formatCode>General</c:formatCode>
                <c:ptCount val="11"/>
                <c:pt idx="0">
                  <c:v>0.81</c:v>
                </c:pt>
                <c:pt idx="1">
                  <c:v>0.93602463408429104</c:v>
                </c:pt>
                <c:pt idx="2">
                  <c:v>1.2957785363371646</c:v>
                </c:pt>
                <c:pt idx="3">
                  <c:v>1.8847217067586204</c:v>
                </c:pt>
                <c:pt idx="4">
                  <c:v>2.7015341453486581</c:v>
                </c:pt>
                <c:pt idx="5">
                  <c:v>3.7456058521072793</c:v>
                </c:pt>
                <c:pt idx="6">
                  <c:v>5.0165468270344808</c:v>
                </c:pt>
                <c:pt idx="7">
                  <c:v>6.514157070130266</c:v>
                </c:pt>
                <c:pt idx="8">
                  <c:v>8.2382665813946332</c:v>
                </c:pt>
                <c:pt idx="9">
                  <c:v>10.188755360827582</c:v>
                </c:pt>
                <c:pt idx="10">
                  <c:v>12.365543408429115</c:v>
                </c:pt>
              </c:numCache>
            </c:numRef>
          </c:yVal>
        </c:ser>
        <c:ser>
          <c:idx val="4"/>
          <c:order val="4"/>
          <c:tx>
            <c:v>%50CV</c:v>
          </c:tx>
          <c:xVal>
            <c:numRef>
              <c:f>PumpCurveData!$D$2:$D$12</c:f>
              <c:numCache>
                <c:formatCode>General</c:formatCode>
                <c:ptCount val="11"/>
                <c:pt idx="0">
                  <c:v>0</c:v>
                </c:pt>
                <c:pt idx="1">
                  <c:v>23.2</c:v>
                </c:pt>
                <c:pt idx="2">
                  <c:v>46.4</c:v>
                </c:pt>
                <c:pt idx="3">
                  <c:v>69.599999999999994</c:v>
                </c:pt>
                <c:pt idx="4">
                  <c:v>92.8</c:v>
                </c:pt>
                <c:pt idx="5">
                  <c:v>116</c:v>
                </c:pt>
                <c:pt idx="6">
                  <c:v>139.19999999999999</c:v>
                </c:pt>
                <c:pt idx="7">
                  <c:v>162.4</c:v>
                </c:pt>
                <c:pt idx="8">
                  <c:v>185.6</c:v>
                </c:pt>
                <c:pt idx="9">
                  <c:v>208.8</c:v>
                </c:pt>
                <c:pt idx="10">
                  <c:v>232</c:v>
                </c:pt>
              </c:numCache>
            </c:numRef>
          </c:xVal>
          <c:yVal>
            <c:numRef>
              <c:f>PumpCurveData!$H$2:$H$12</c:f>
              <c:numCache>
                <c:formatCode>General</c:formatCode>
                <c:ptCount val="11"/>
                <c:pt idx="0">
                  <c:v>0.81</c:v>
                </c:pt>
                <c:pt idx="1">
                  <c:v>0.90576136581394628</c:v>
                </c:pt>
                <c:pt idx="2">
                  <c:v>1.1747254632557853</c:v>
                </c:pt>
                <c:pt idx="3">
                  <c:v>1.6123522923255171</c:v>
                </c:pt>
                <c:pt idx="4">
                  <c:v>2.2173218530231416</c:v>
                </c:pt>
                <c:pt idx="5">
                  <c:v>2.9890241453486586</c:v>
                </c:pt>
                <c:pt idx="6">
                  <c:v>3.9270691693020683</c:v>
                </c:pt>
                <c:pt idx="7">
                  <c:v>5.0312569248833716</c:v>
                </c:pt>
                <c:pt idx="8">
                  <c:v>6.3014174120925661</c:v>
                </c:pt>
                <c:pt idx="9">
                  <c:v>7.7374306309296541</c:v>
                </c:pt>
                <c:pt idx="10">
                  <c:v>9.3392165813946324</c:v>
                </c:pt>
              </c:numCache>
            </c:numRef>
          </c:yVal>
        </c:ser>
        <c:ser>
          <c:idx val="5"/>
          <c:order val="5"/>
          <c:tx>
            <c:v>%60CV</c:v>
          </c:tx>
          <c:xVal>
            <c:numRef>
              <c:f>PumpCurveData!$D$2:$D$12</c:f>
              <c:numCache>
                <c:formatCode>General</c:formatCode>
                <c:ptCount val="11"/>
                <c:pt idx="0">
                  <c:v>0</c:v>
                </c:pt>
                <c:pt idx="1">
                  <c:v>23.2</c:v>
                </c:pt>
                <c:pt idx="2">
                  <c:v>46.4</c:v>
                </c:pt>
                <c:pt idx="3">
                  <c:v>69.599999999999994</c:v>
                </c:pt>
                <c:pt idx="4">
                  <c:v>92.8</c:v>
                </c:pt>
                <c:pt idx="5">
                  <c:v>116</c:v>
                </c:pt>
                <c:pt idx="6">
                  <c:v>139.19999999999999</c:v>
                </c:pt>
                <c:pt idx="7">
                  <c:v>162.4</c:v>
                </c:pt>
                <c:pt idx="8">
                  <c:v>185.6</c:v>
                </c:pt>
                <c:pt idx="9">
                  <c:v>208.8</c:v>
                </c:pt>
                <c:pt idx="10">
                  <c:v>232</c:v>
                </c:pt>
              </c:numCache>
            </c:numRef>
          </c:xVal>
          <c:yVal>
            <c:numRef>
              <c:f>PumpCurveData!$I$2:$I$12</c:f>
              <c:numCache>
                <c:formatCode>General</c:formatCode>
                <c:ptCount val="11"/>
                <c:pt idx="0">
                  <c:v>0.81</c:v>
                </c:pt>
                <c:pt idx="1">
                  <c:v>0.88932205959301824</c:v>
                </c:pt>
                <c:pt idx="2">
                  <c:v>1.1089682383720731</c:v>
                </c:pt>
                <c:pt idx="3">
                  <c:v>1.4643985363371645</c:v>
                </c:pt>
                <c:pt idx="4">
                  <c:v>1.9542929534882927</c:v>
                </c:pt>
                <c:pt idx="5">
                  <c:v>2.5780414898254573</c:v>
                </c:pt>
                <c:pt idx="6">
                  <c:v>3.3352541453486588</c:v>
                </c:pt>
                <c:pt idx="7">
                  <c:v>4.225730920057897</c:v>
                </c:pt>
                <c:pt idx="8">
                  <c:v>5.2493018139531697</c:v>
                </c:pt>
                <c:pt idx="9">
                  <c:v>6.405846827034483</c:v>
                </c:pt>
                <c:pt idx="10">
                  <c:v>7.6952859593018301</c:v>
                </c:pt>
              </c:numCache>
            </c:numRef>
          </c:yVal>
        </c:ser>
        <c:ser>
          <c:idx val="6"/>
          <c:order val="6"/>
          <c:tx>
            <c:v>%70CV</c:v>
          </c:tx>
          <c:xVal>
            <c:numRef>
              <c:f>PumpCurveData!$D$2:$D$12</c:f>
              <c:numCache>
                <c:formatCode>General</c:formatCode>
                <c:ptCount val="11"/>
                <c:pt idx="0">
                  <c:v>0</c:v>
                </c:pt>
                <c:pt idx="1">
                  <c:v>23.2</c:v>
                </c:pt>
                <c:pt idx="2">
                  <c:v>46.4</c:v>
                </c:pt>
                <c:pt idx="3">
                  <c:v>69.599999999999994</c:v>
                </c:pt>
                <c:pt idx="4">
                  <c:v>92.8</c:v>
                </c:pt>
                <c:pt idx="5">
                  <c:v>116</c:v>
                </c:pt>
                <c:pt idx="6">
                  <c:v>139.19999999999999</c:v>
                </c:pt>
                <c:pt idx="7">
                  <c:v>162.4</c:v>
                </c:pt>
                <c:pt idx="8">
                  <c:v>185.6</c:v>
                </c:pt>
                <c:pt idx="9">
                  <c:v>208.8</c:v>
                </c:pt>
                <c:pt idx="10">
                  <c:v>232</c:v>
                </c:pt>
              </c:numCache>
            </c:numRef>
          </c:xVal>
          <c:yVal>
            <c:numRef>
              <c:f>PumpCurveData!$J$2:$J$12</c:f>
              <c:numCache>
                <c:formatCode>General</c:formatCode>
                <c:ptCount val="11"/>
                <c:pt idx="0">
                  <c:v>0.81</c:v>
                </c:pt>
                <c:pt idx="1">
                  <c:v>0.8794096764356869</c:v>
                </c:pt>
                <c:pt idx="2">
                  <c:v>1.0693187057427478</c:v>
                </c:pt>
                <c:pt idx="3">
                  <c:v>1.3751870879211823</c:v>
                </c:pt>
                <c:pt idx="4">
                  <c:v>1.7956948229709906</c:v>
                </c:pt>
                <c:pt idx="5">
                  <c:v>2.3302319108921727</c:v>
                </c:pt>
                <c:pt idx="6">
                  <c:v>2.9784083516847288</c:v>
                </c:pt>
                <c:pt idx="7">
                  <c:v>3.7400241453486589</c:v>
                </c:pt>
                <c:pt idx="8">
                  <c:v>4.6149092918839623</c:v>
                </c:pt>
                <c:pt idx="9">
                  <c:v>5.602943791290639</c:v>
                </c:pt>
                <c:pt idx="10">
                  <c:v>6.7040476435686918</c:v>
                </c:pt>
              </c:numCache>
            </c:numRef>
          </c:yVal>
        </c:ser>
        <c:ser>
          <c:idx val="7"/>
          <c:order val="7"/>
          <c:tx>
            <c:v>%80CV</c:v>
          </c:tx>
          <c:xVal>
            <c:numRef>
              <c:f>PumpCurveData!$D$2:$D$12</c:f>
              <c:numCache>
                <c:formatCode>General</c:formatCode>
                <c:ptCount val="11"/>
                <c:pt idx="0">
                  <c:v>0</c:v>
                </c:pt>
                <c:pt idx="1">
                  <c:v>23.2</c:v>
                </c:pt>
                <c:pt idx="2">
                  <c:v>46.4</c:v>
                </c:pt>
                <c:pt idx="3">
                  <c:v>69.599999999999994</c:v>
                </c:pt>
                <c:pt idx="4">
                  <c:v>92.8</c:v>
                </c:pt>
                <c:pt idx="5">
                  <c:v>116</c:v>
                </c:pt>
                <c:pt idx="6">
                  <c:v>139.19999999999999</c:v>
                </c:pt>
                <c:pt idx="7">
                  <c:v>162.4</c:v>
                </c:pt>
                <c:pt idx="8">
                  <c:v>185.6</c:v>
                </c:pt>
                <c:pt idx="9">
                  <c:v>208.8</c:v>
                </c:pt>
                <c:pt idx="10">
                  <c:v>232</c:v>
                </c:pt>
              </c:numCache>
            </c:numRef>
          </c:xVal>
          <c:yVal>
            <c:numRef>
              <c:f>PumpCurveData!$K$2:$K$12</c:f>
              <c:numCache>
                <c:formatCode>General</c:formatCode>
                <c:ptCount val="11"/>
                <c:pt idx="0">
                  <c:v>0.81</c:v>
                </c:pt>
                <c:pt idx="1">
                  <c:v>0.87297615852107269</c:v>
                </c:pt>
                <c:pt idx="2">
                  <c:v>1.0435846340842911</c:v>
                </c:pt>
                <c:pt idx="3">
                  <c:v>1.3172854266896552</c:v>
                </c:pt>
                <c:pt idx="4">
                  <c:v>1.6927585363371644</c:v>
                </c:pt>
                <c:pt idx="5">
                  <c:v>2.16939396302682</c:v>
                </c:pt>
                <c:pt idx="6">
                  <c:v>2.7468017067586206</c:v>
                </c:pt>
                <c:pt idx="7">
                  <c:v>3.4247817675325667</c:v>
                </c:pt>
                <c:pt idx="8">
                  <c:v>4.2031641453486586</c:v>
                </c:pt>
                <c:pt idx="9">
                  <c:v>5.081828840206895</c:v>
                </c:pt>
                <c:pt idx="10">
                  <c:v>6.0606958521072789</c:v>
                </c:pt>
              </c:numCache>
            </c:numRef>
          </c:yVal>
        </c:ser>
        <c:axId val="169704832"/>
        <c:axId val="169727104"/>
      </c:scatterChart>
      <c:valAx>
        <c:axId val="169704832"/>
        <c:scaling>
          <c:orientation val="minMax"/>
        </c:scaling>
        <c:axPos val="b"/>
        <c:numFmt formatCode="General" sourceLinked="1"/>
        <c:tickLblPos val="nextTo"/>
        <c:crossAx val="169727104"/>
        <c:crosses val="autoZero"/>
        <c:crossBetween val="midCat"/>
      </c:valAx>
      <c:valAx>
        <c:axId val="169727104"/>
        <c:scaling>
          <c:orientation val="minMax"/>
          <c:max val="10"/>
        </c:scaling>
        <c:axPos val="l"/>
        <c:majorGridlines/>
        <c:numFmt formatCode="General" sourceLinked="1"/>
        <c:tickLblPos val="nextTo"/>
        <c:crossAx val="169704832"/>
        <c:crosses val="autoZero"/>
        <c:crossBetween val="midCat"/>
      </c:valAx>
    </c:plotArea>
    <c:legend>
      <c:legendPos val="r"/>
      <c:layout/>
    </c:legend>
    <c:plotVisOnly val="1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2"/>
  <sheetViews>
    <sheetView zoomScale="77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02338" cy="6073734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"/>
  <sheetViews>
    <sheetView tabSelected="1" workbookViewId="0"/>
  </sheetViews>
  <sheetFormatPr defaultRowHeight="1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K12"/>
  <sheetViews>
    <sheetView workbookViewId="0"/>
  </sheetViews>
  <sheetFormatPr defaultRowHeight="15"/>
  <sheetData>
    <row r="1" spans="1:11">
      <c r="A1" t="s">
        <v>0</v>
      </c>
      <c r="B1" t="s">
        <v>1</v>
      </c>
      <c r="C1" t="s">
        <v>1</v>
      </c>
      <c r="D1" t="s">
        <v>37</v>
      </c>
      <c r="E1" t="s">
        <v>35</v>
      </c>
      <c r="F1" t="s">
        <v>36</v>
      </c>
      <c r="G1" s="2">
        <v>0.4</v>
      </c>
      <c r="H1" s="2">
        <v>0.5</v>
      </c>
      <c r="I1" s="2">
        <v>0.6</v>
      </c>
      <c r="J1" s="2">
        <v>0.7</v>
      </c>
      <c r="K1" s="2">
        <v>0.8</v>
      </c>
    </row>
    <row r="2" spans="1:11">
      <c r="A2">
        <v>0</v>
      </c>
      <c r="B2">
        <v>9</v>
      </c>
      <c r="C2">
        <v>91.945400000000006</v>
      </c>
      <c r="D2">
        <v>0</v>
      </c>
      <c r="E2">
        <v>0.81</v>
      </c>
      <c r="F2">
        <v>0.81</v>
      </c>
      <c r="G2">
        <v>0.81</v>
      </c>
      <c r="H2">
        <v>0.81</v>
      </c>
      <c r="I2">
        <v>0.81</v>
      </c>
      <c r="J2">
        <v>0.81</v>
      </c>
      <c r="K2">
        <v>0.81</v>
      </c>
    </row>
    <row r="3" spans="1:11">
      <c r="A3">
        <v>23</v>
      </c>
      <c r="B3">
        <v>8.1</v>
      </c>
      <c r="C3">
        <v>82.750900000000001</v>
      </c>
      <c r="D3">
        <v>23.2</v>
      </c>
      <c r="E3">
        <v>1.1882185363371645</v>
      </c>
      <c r="F3">
        <v>1.0014082383720733</v>
      </c>
      <c r="G3">
        <v>0.93602463408429104</v>
      </c>
      <c r="H3">
        <v>0.90576136581394628</v>
      </c>
      <c r="I3">
        <v>0.88932205959301824</v>
      </c>
      <c r="J3">
        <v>0.8794096764356869</v>
      </c>
      <c r="K3">
        <v>0.87297615852107269</v>
      </c>
    </row>
    <row r="4" spans="1:11">
      <c r="A4">
        <v>46</v>
      </c>
      <c r="B4">
        <v>7.5</v>
      </c>
      <c r="C4">
        <v>76.621200000000002</v>
      </c>
      <c r="D4">
        <v>46.4</v>
      </c>
      <c r="E4">
        <v>2.304554145348658</v>
      </c>
      <c r="F4">
        <v>1.5573129534882928</v>
      </c>
      <c r="G4">
        <v>1.2957785363371646</v>
      </c>
      <c r="H4">
        <v>1.1747254632557853</v>
      </c>
      <c r="I4">
        <v>1.1089682383720731</v>
      </c>
      <c r="J4">
        <v>1.0693187057427478</v>
      </c>
      <c r="K4">
        <v>1.0435846340842911</v>
      </c>
    </row>
    <row r="5" spans="1:11">
      <c r="A5">
        <v>69</v>
      </c>
      <c r="B5">
        <v>7</v>
      </c>
      <c r="C5">
        <v>71.513099999999994</v>
      </c>
      <c r="D5">
        <v>69.599999999999994</v>
      </c>
      <c r="E5">
        <v>4.1544668270344811</v>
      </c>
      <c r="F5">
        <v>2.4731741453486586</v>
      </c>
      <c r="G5">
        <v>1.8847217067586204</v>
      </c>
      <c r="H5">
        <v>1.6123522923255171</v>
      </c>
      <c r="I5">
        <v>1.4643985363371645</v>
      </c>
      <c r="J5">
        <v>1.3751870879211823</v>
      </c>
      <c r="K5">
        <v>1.3172854266896552</v>
      </c>
    </row>
    <row r="6" spans="1:11">
      <c r="A6">
        <v>92</v>
      </c>
      <c r="B6">
        <v>6.5</v>
      </c>
      <c r="C6">
        <v>66.405000000000001</v>
      </c>
      <c r="D6">
        <v>92.8</v>
      </c>
      <c r="E6">
        <v>6.7366365813946318</v>
      </c>
      <c r="F6">
        <v>3.7476718139531706</v>
      </c>
      <c r="G6">
        <v>2.7015341453486581</v>
      </c>
      <c r="H6">
        <v>2.2173218530231416</v>
      </c>
      <c r="I6">
        <v>1.9542929534882927</v>
      </c>
      <c r="J6">
        <v>1.7956948229709906</v>
      </c>
      <c r="K6">
        <v>1.6927585363371644</v>
      </c>
    </row>
    <row r="7" spans="1:11">
      <c r="A7">
        <v>115</v>
      </c>
      <c r="B7">
        <v>6</v>
      </c>
      <c r="C7">
        <v>61.296900000000001</v>
      </c>
      <c r="D7">
        <v>116</v>
      </c>
      <c r="E7">
        <v>10.050453408429115</v>
      </c>
      <c r="F7">
        <v>5.3801959593018305</v>
      </c>
      <c r="G7">
        <v>3.7456058521072793</v>
      </c>
      <c r="H7">
        <v>2.9890241453486586</v>
      </c>
      <c r="I7">
        <v>2.5780414898254573</v>
      </c>
      <c r="J7">
        <v>2.3302319108921727</v>
      </c>
      <c r="K7">
        <v>2.16939396302682</v>
      </c>
    </row>
    <row r="8" spans="1:11">
      <c r="A8">
        <v>138</v>
      </c>
      <c r="B8">
        <v>5.5</v>
      </c>
      <c r="C8">
        <v>56.188899999999997</v>
      </c>
      <c r="D8">
        <v>139.19999999999999</v>
      </c>
      <c r="E8">
        <v>14.095527308137925</v>
      </c>
      <c r="F8">
        <v>7.3703565813946339</v>
      </c>
      <c r="G8">
        <v>5.0165468270344808</v>
      </c>
      <c r="H8">
        <v>3.9270691693020683</v>
      </c>
      <c r="I8">
        <v>3.3352541453486588</v>
      </c>
      <c r="J8">
        <v>2.9784083516847288</v>
      </c>
      <c r="K8">
        <v>2.7468017067586206</v>
      </c>
    </row>
    <row r="9" spans="1:11">
      <c r="A9">
        <v>161</v>
      </c>
      <c r="B9">
        <v>5</v>
      </c>
      <c r="C9">
        <v>51.080800000000004</v>
      </c>
      <c r="D9">
        <v>162.4</v>
      </c>
      <c r="E9">
        <v>18.871658280521068</v>
      </c>
      <c r="F9">
        <v>9.7179536802315862</v>
      </c>
      <c r="G9">
        <v>6.514157070130266</v>
      </c>
      <c r="H9">
        <v>5.0312569248833716</v>
      </c>
      <c r="I9">
        <v>4.225730920057897</v>
      </c>
      <c r="J9">
        <v>3.7400241453486589</v>
      </c>
      <c r="K9">
        <v>3.4247817675325667</v>
      </c>
    </row>
    <row r="10" spans="1:11">
      <c r="A10">
        <v>184</v>
      </c>
      <c r="B10">
        <v>4.5</v>
      </c>
      <c r="C10">
        <v>45.972700000000003</v>
      </c>
      <c r="D10">
        <v>185.6</v>
      </c>
      <c r="E10">
        <v>24.378676325578528</v>
      </c>
      <c r="F10">
        <v>12.422817255812681</v>
      </c>
      <c r="G10">
        <v>8.2382665813946332</v>
      </c>
      <c r="H10">
        <v>6.3014174120925661</v>
      </c>
      <c r="I10">
        <v>5.2493018139531697</v>
      </c>
      <c r="J10">
        <v>4.6149092918839623</v>
      </c>
      <c r="K10">
        <v>4.2031641453486586</v>
      </c>
    </row>
    <row r="11" spans="1:11">
      <c r="A11">
        <v>207</v>
      </c>
      <c r="B11">
        <v>4</v>
      </c>
      <c r="C11">
        <v>40.864600000000003</v>
      </c>
      <c r="D11">
        <v>208.8</v>
      </c>
      <c r="E11">
        <v>30.616461443310332</v>
      </c>
      <c r="F11">
        <v>15.48482730813793</v>
      </c>
      <c r="G11">
        <v>10.188755360827582</v>
      </c>
      <c r="H11">
        <v>7.7374306309296541</v>
      </c>
      <c r="I11">
        <v>6.405846827034483</v>
      </c>
      <c r="J11">
        <v>5.602943791290639</v>
      </c>
      <c r="K11">
        <v>5.081828840206895</v>
      </c>
    </row>
    <row r="12" spans="1:11">
      <c r="A12">
        <v>230</v>
      </c>
      <c r="B12">
        <v>3</v>
      </c>
      <c r="C12">
        <v>30.648499999999999</v>
      </c>
      <c r="D12">
        <v>232</v>
      </c>
      <c r="E12">
        <v>37.584933633716467</v>
      </c>
      <c r="F12">
        <v>18.90390383720732</v>
      </c>
      <c r="G12">
        <v>12.365543408429115</v>
      </c>
      <c r="H12">
        <v>9.3392165813946324</v>
      </c>
      <c r="I12">
        <v>7.6952859593018301</v>
      </c>
      <c r="J12">
        <v>6.7040476435686918</v>
      </c>
      <c r="K12">
        <v>6.0606958521072789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D30"/>
  <sheetViews>
    <sheetView workbookViewId="0">
      <selection activeCell="B7" sqref="B7"/>
    </sheetView>
  </sheetViews>
  <sheetFormatPr defaultRowHeight="15"/>
  <cols>
    <col min="1" max="1" width="16.42578125" bestFit="1" customWidth="1"/>
    <col min="2" max="2" width="10.42578125" bestFit="1" customWidth="1"/>
  </cols>
  <sheetData>
    <row r="1" spans="1:4">
      <c r="C1" t="s">
        <v>4</v>
      </c>
      <c r="D1" t="s">
        <v>5</v>
      </c>
    </row>
    <row r="2" spans="1:4">
      <c r="A2" t="s">
        <v>2</v>
      </c>
      <c r="B2" t="s">
        <v>3</v>
      </c>
      <c r="C2">
        <v>20.6</v>
      </c>
      <c r="D2">
        <v>0.84</v>
      </c>
    </row>
    <row r="3" spans="1:4">
      <c r="B3" s="1">
        <v>1.5</v>
      </c>
      <c r="C3">
        <v>39.200000000000003</v>
      </c>
      <c r="D3">
        <v>0.82</v>
      </c>
    </row>
    <row r="4" spans="1:4">
      <c r="B4">
        <v>2</v>
      </c>
      <c r="C4">
        <v>72.900000000000006</v>
      </c>
      <c r="D4">
        <v>0.77</v>
      </c>
    </row>
    <row r="5" spans="1:4">
      <c r="B5" s="1">
        <v>2.5</v>
      </c>
      <c r="C5">
        <v>108</v>
      </c>
      <c r="D5">
        <v>0.81</v>
      </c>
    </row>
    <row r="6" spans="1:4">
      <c r="B6">
        <v>3</v>
      </c>
      <c r="C6">
        <v>148</v>
      </c>
      <c r="D6">
        <v>0.82</v>
      </c>
    </row>
    <row r="7" spans="1:4">
      <c r="B7">
        <v>4</v>
      </c>
      <c r="C7">
        <v>236</v>
      </c>
      <c r="D7">
        <v>0.82</v>
      </c>
    </row>
    <row r="8" spans="1:4">
      <c r="B8">
        <v>6</v>
      </c>
      <c r="C8">
        <v>433</v>
      </c>
      <c r="D8">
        <v>0.84</v>
      </c>
    </row>
    <row r="9" spans="1:4">
      <c r="B9">
        <v>8</v>
      </c>
      <c r="C9">
        <v>688</v>
      </c>
      <c r="D9">
        <v>0.87</v>
      </c>
    </row>
    <row r="10" spans="1:4">
      <c r="B10">
        <v>8</v>
      </c>
      <c r="C10">
        <v>846</v>
      </c>
      <c r="D10">
        <v>0.87</v>
      </c>
    </row>
    <row r="12" spans="1:4">
      <c r="A12" t="s">
        <v>6</v>
      </c>
      <c r="B12" t="s">
        <v>3</v>
      </c>
      <c r="C12">
        <v>22.1</v>
      </c>
      <c r="D12">
        <v>0.81</v>
      </c>
    </row>
    <row r="13" spans="1:4">
      <c r="B13" s="1">
        <v>1.5</v>
      </c>
      <c r="C13">
        <v>44</v>
      </c>
      <c r="D13">
        <v>0.79</v>
      </c>
    </row>
    <row r="14" spans="1:4">
      <c r="B14">
        <v>2</v>
      </c>
      <c r="C14">
        <v>77.599999999999994</v>
      </c>
      <c r="D14">
        <v>0.77</v>
      </c>
    </row>
    <row r="15" spans="1:4">
      <c r="B15" s="1">
        <v>2.5</v>
      </c>
      <c r="C15">
        <v>109</v>
      </c>
      <c r="D15">
        <v>0.81</v>
      </c>
    </row>
    <row r="16" spans="1:4">
      <c r="B16">
        <v>3</v>
      </c>
      <c r="C16">
        <v>161</v>
      </c>
      <c r="D16">
        <v>0.77</v>
      </c>
    </row>
    <row r="17" spans="1:4">
      <c r="B17">
        <v>4</v>
      </c>
      <c r="C17">
        <v>251</v>
      </c>
      <c r="D17">
        <v>0.79</v>
      </c>
    </row>
    <row r="18" spans="1:4">
      <c r="B18">
        <v>6</v>
      </c>
      <c r="C18">
        <v>460</v>
      </c>
      <c r="D18">
        <v>0.82</v>
      </c>
    </row>
    <row r="19" spans="1:4">
      <c r="B19">
        <v>8</v>
      </c>
      <c r="C19">
        <v>744</v>
      </c>
      <c r="D19">
        <v>0.87</v>
      </c>
    </row>
    <row r="20" spans="1:4">
      <c r="B20">
        <v>8</v>
      </c>
      <c r="C20">
        <v>863</v>
      </c>
      <c r="D20">
        <v>0.85</v>
      </c>
    </row>
    <row r="22" spans="1:4">
      <c r="A22" t="s">
        <v>7</v>
      </c>
      <c r="B22" t="s">
        <v>3</v>
      </c>
      <c r="C22">
        <v>17.2</v>
      </c>
      <c r="D22">
        <v>0.88</v>
      </c>
    </row>
    <row r="23" spans="1:4">
      <c r="B23" s="1">
        <v>1.5</v>
      </c>
      <c r="C23">
        <v>35.799999999999997</v>
      </c>
      <c r="D23">
        <v>0.84</v>
      </c>
    </row>
    <row r="24" spans="1:4">
      <c r="B24">
        <v>2</v>
      </c>
      <c r="C24">
        <v>59.7</v>
      </c>
      <c r="D24">
        <v>0.85</v>
      </c>
    </row>
    <row r="25" spans="1:4">
      <c r="B25" s="1">
        <v>2.5</v>
      </c>
      <c r="C25">
        <v>99.4</v>
      </c>
      <c r="D25">
        <v>0.84</v>
      </c>
    </row>
    <row r="26" spans="1:4">
      <c r="B26">
        <v>3</v>
      </c>
      <c r="C26">
        <v>136</v>
      </c>
      <c r="D26">
        <v>0.82</v>
      </c>
    </row>
    <row r="27" spans="1:4">
      <c r="B27">
        <v>4</v>
      </c>
      <c r="C27">
        <v>224</v>
      </c>
      <c r="D27">
        <v>0.82</v>
      </c>
    </row>
    <row r="28" spans="1:4">
      <c r="B28">
        <v>6</v>
      </c>
      <c r="C28">
        <v>394</v>
      </c>
      <c r="D28">
        <v>0.85</v>
      </c>
    </row>
    <row r="29" spans="1:4">
      <c r="B29">
        <v>8</v>
      </c>
      <c r="C29">
        <v>567</v>
      </c>
      <c r="D29">
        <v>0.85</v>
      </c>
    </row>
    <row r="30" spans="1:4">
      <c r="B30">
        <v>8</v>
      </c>
      <c r="C30">
        <v>818</v>
      </c>
      <c r="D30">
        <v>0.86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F203"/>
  <sheetViews>
    <sheetView topLeftCell="A21" workbookViewId="0">
      <selection activeCell="E72" sqref="E72"/>
    </sheetView>
  </sheetViews>
  <sheetFormatPr defaultRowHeight="15"/>
  <cols>
    <col min="1" max="2" width="9.28515625" customWidth="1"/>
    <col min="6" max="6" width="12" bestFit="1" customWidth="1"/>
  </cols>
  <sheetData>
    <row r="1" spans="1:6">
      <c r="A1" t="s">
        <v>31</v>
      </c>
      <c r="B1" t="s">
        <v>32</v>
      </c>
      <c r="C1" t="s">
        <v>30</v>
      </c>
      <c r="D1" t="s">
        <v>29</v>
      </c>
      <c r="E1" t="s">
        <v>34</v>
      </c>
      <c r="F1" t="s">
        <v>33</v>
      </c>
    </row>
    <row r="2" spans="1:6">
      <c r="A2" s="1">
        <v>0.25</v>
      </c>
      <c r="C2" t="s">
        <v>8</v>
      </c>
      <c r="D2">
        <v>1.65</v>
      </c>
      <c r="E2">
        <v>1.0410000000000001E-2</v>
      </c>
      <c r="F2">
        <f>PI()*E2*E2/4</f>
        <v>8.5112106710871023E-5</v>
      </c>
    </row>
    <row r="3" spans="1:6">
      <c r="C3" t="s">
        <v>9</v>
      </c>
      <c r="D3">
        <v>2.2400000000000002</v>
      </c>
      <c r="E3">
        <v>9.2499999999999995E-3</v>
      </c>
      <c r="F3">
        <f t="shared" ref="F3:F66" si="0">PI()*E3*E3/4</f>
        <v>6.7200630355694163E-5</v>
      </c>
    </row>
    <row r="4" spans="1:6">
      <c r="C4" t="s">
        <v>10</v>
      </c>
      <c r="D4">
        <v>3.02</v>
      </c>
      <c r="E4">
        <v>7.6699999999999997E-3</v>
      </c>
      <c r="F4">
        <f t="shared" si="0"/>
        <v>4.620411001469214E-5</v>
      </c>
    </row>
    <row r="5" spans="1:6">
      <c r="A5">
        <v>0.375</v>
      </c>
      <c r="B5">
        <v>0.67500000000000004</v>
      </c>
      <c r="C5" t="s">
        <v>8</v>
      </c>
      <c r="D5">
        <v>1.65</v>
      </c>
      <c r="E5">
        <v>1.384E-2</v>
      </c>
      <c r="F5">
        <f t="shared" si="0"/>
        <v>1.5043956244686227E-4</v>
      </c>
    </row>
    <row r="6" spans="1:6">
      <c r="C6" t="s">
        <v>9</v>
      </c>
      <c r="D6">
        <v>2.31</v>
      </c>
      <c r="E6">
        <v>1.252E-2</v>
      </c>
      <c r="F6">
        <f t="shared" si="0"/>
        <v>1.2311147627181536E-4</v>
      </c>
    </row>
    <row r="7" spans="1:6">
      <c r="C7" t="s">
        <v>10</v>
      </c>
      <c r="D7">
        <v>3.2</v>
      </c>
      <c r="E7">
        <v>1.074E-2</v>
      </c>
      <c r="F7">
        <f t="shared" si="0"/>
        <v>9.0593793192303497E-5</v>
      </c>
    </row>
    <row r="8" spans="1:6">
      <c r="A8">
        <v>0.5</v>
      </c>
      <c r="B8">
        <v>0.84</v>
      </c>
      <c r="C8" t="s">
        <v>11</v>
      </c>
      <c r="D8">
        <v>1.65</v>
      </c>
      <c r="E8">
        <v>1.8030000000000001E-2</v>
      </c>
      <c r="F8">
        <f t="shared" si="0"/>
        <v>2.5531794181558957E-4</v>
      </c>
    </row>
    <row r="9" spans="1:6">
      <c r="C9" t="s">
        <v>8</v>
      </c>
      <c r="D9">
        <v>2.11</v>
      </c>
      <c r="E9">
        <v>1.712E-2</v>
      </c>
      <c r="F9">
        <f t="shared" si="0"/>
        <v>2.3019580346207705E-4</v>
      </c>
    </row>
    <row r="10" spans="1:6">
      <c r="C10" t="s">
        <v>9</v>
      </c>
      <c r="D10">
        <v>2.77</v>
      </c>
      <c r="E10">
        <v>1.5800000000000002E-2</v>
      </c>
      <c r="F10">
        <f t="shared" si="0"/>
        <v>1.9606679751053903E-4</v>
      </c>
    </row>
    <row r="11" spans="1:6">
      <c r="C11" t="s">
        <v>10</v>
      </c>
      <c r="D11">
        <v>3.73</v>
      </c>
      <c r="E11">
        <v>1.3869999999999999E-2</v>
      </c>
      <c r="F11">
        <f t="shared" si="0"/>
        <v>1.5109246394009454E-4</v>
      </c>
    </row>
    <row r="12" spans="1:6">
      <c r="C12">
        <v>160</v>
      </c>
      <c r="D12">
        <v>4.78</v>
      </c>
      <c r="E12">
        <v>1.1789999999999998E-2</v>
      </c>
      <c r="F12">
        <f t="shared" si="0"/>
        <v>1.0917356484471521E-4</v>
      </c>
    </row>
    <row r="13" spans="1:6">
      <c r="C13" t="s">
        <v>12</v>
      </c>
      <c r="D13">
        <v>7.47</v>
      </c>
      <c r="E13">
        <v>6.4000000000000003E-3</v>
      </c>
      <c r="F13">
        <f t="shared" si="0"/>
        <v>3.2169908772759481E-5</v>
      </c>
    </row>
    <row r="14" spans="1:6">
      <c r="A14">
        <v>0.75</v>
      </c>
      <c r="B14">
        <v>1.05</v>
      </c>
      <c r="C14" t="s">
        <v>11</v>
      </c>
      <c r="D14">
        <v>1.65</v>
      </c>
      <c r="E14">
        <v>2.3370000000000002E-2</v>
      </c>
      <c r="F14">
        <f t="shared" si="0"/>
        <v>4.289506261868439E-4</v>
      </c>
    </row>
    <row r="15" spans="1:6">
      <c r="C15" t="s">
        <v>8</v>
      </c>
      <c r="D15">
        <v>2.11</v>
      </c>
      <c r="E15">
        <v>2.2449999999999998E-2</v>
      </c>
      <c r="F15">
        <f t="shared" si="0"/>
        <v>3.9584263784772238E-4</v>
      </c>
    </row>
    <row r="16" spans="1:6">
      <c r="C16" t="s">
        <v>9</v>
      </c>
      <c r="D16">
        <v>2.87</v>
      </c>
      <c r="E16">
        <v>2.0930000000000001E-2</v>
      </c>
      <c r="F16">
        <f t="shared" si="0"/>
        <v>3.4405536790888685E-4</v>
      </c>
    </row>
    <row r="17" spans="1:6">
      <c r="C17" t="s">
        <v>10</v>
      </c>
      <c r="D17">
        <v>3.91</v>
      </c>
      <c r="E17">
        <v>1.8850000000000002E-2</v>
      </c>
      <c r="F17">
        <f t="shared" si="0"/>
        <v>2.7906963891378988E-4</v>
      </c>
    </row>
    <row r="18" spans="1:6">
      <c r="C18">
        <v>160</v>
      </c>
      <c r="D18">
        <v>5.56</v>
      </c>
      <c r="E18">
        <v>1.554E-2</v>
      </c>
      <c r="F18">
        <f t="shared" si="0"/>
        <v>1.8966705911591122E-4</v>
      </c>
    </row>
    <row r="19" spans="1:6">
      <c r="C19" t="s">
        <v>12</v>
      </c>
      <c r="D19">
        <v>7.82</v>
      </c>
      <c r="E19">
        <v>1.102E-2</v>
      </c>
      <c r="F19">
        <f t="shared" si="0"/>
        <v>9.5379067122251479E-5</v>
      </c>
    </row>
    <row r="20" spans="1:6">
      <c r="A20">
        <v>1</v>
      </c>
      <c r="B20">
        <v>1.3149999999999999</v>
      </c>
      <c r="C20" t="s">
        <v>11</v>
      </c>
      <c r="D20">
        <v>1.65</v>
      </c>
      <c r="E20">
        <v>3.0100000000000002E-2</v>
      </c>
      <c r="F20">
        <f t="shared" si="0"/>
        <v>7.1157859001972224E-4</v>
      </c>
    </row>
    <row r="21" spans="1:6">
      <c r="C21" t="s">
        <v>8</v>
      </c>
      <c r="D21">
        <v>2.77</v>
      </c>
      <c r="E21">
        <v>2.7859999999999999E-2</v>
      </c>
      <c r="F21">
        <f t="shared" si="0"/>
        <v>6.0961003230656607E-4</v>
      </c>
    </row>
    <row r="22" spans="1:6">
      <c r="C22" t="s">
        <v>9</v>
      </c>
      <c r="D22">
        <v>3.38</v>
      </c>
      <c r="E22">
        <v>2.664E-2</v>
      </c>
      <c r="F22">
        <f t="shared" si="0"/>
        <v>5.5738890842226972E-4</v>
      </c>
    </row>
    <row r="23" spans="1:6">
      <c r="C23" t="s">
        <v>10</v>
      </c>
      <c r="D23">
        <v>4.55</v>
      </c>
      <c r="E23">
        <v>2.4309999999999998E-2</v>
      </c>
      <c r="F23">
        <f t="shared" si="0"/>
        <v>4.6415154355178669E-4</v>
      </c>
    </row>
    <row r="24" spans="1:6">
      <c r="C24">
        <v>160</v>
      </c>
      <c r="D24">
        <v>6.35</v>
      </c>
      <c r="E24">
        <v>2.07E-2</v>
      </c>
      <c r="F24">
        <f t="shared" si="0"/>
        <v>3.3653525903417264E-4</v>
      </c>
    </row>
    <row r="25" spans="1:6">
      <c r="C25" t="s">
        <v>12</v>
      </c>
      <c r="D25">
        <v>9.09</v>
      </c>
      <c r="E25">
        <v>1.5210000000000001E-2</v>
      </c>
      <c r="F25">
        <f t="shared" si="0"/>
        <v>1.8169723125283565E-4</v>
      </c>
    </row>
    <row r="26" spans="1:6">
      <c r="A26">
        <v>1.25</v>
      </c>
      <c r="B26">
        <v>1.66</v>
      </c>
      <c r="C26" t="s">
        <v>11</v>
      </c>
      <c r="D26">
        <v>1.65</v>
      </c>
      <c r="E26">
        <v>3.8859999999999999E-2</v>
      </c>
      <c r="F26">
        <f t="shared" si="0"/>
        <v>1.1860294523872211E-3</v>
      </c>
    </row>
    <row r="27" spans="1:6">
      <c r="C27" t="s">
        <v>8</v>
      </c>
      <c r="D27">
        <v>2.77</v>
      </c>
      <c r="E27">
        <v>3.6630000000000003E-2</v>
      </c>
      <c r="F27">
        <f t="shared" si="0"/>
        <v>1.0538134049858539E-3</v>
      </c>
    </row>
    <row r="28" spans="1:6">
      <c r="C28" t="s">
        <v>9</v>
      </c>
      <c r="D28">
        <v>3.56</v>
      </c>
      <c r="E28">
        <v>3.5049999999999998E-2</v>
      </c>
      <c r="F28">
        <f t="shared" si="0"/>
        <v>9.6486360722917357E-4</v>
      </c>
    </row>
    <row r="29" spans="1:6">
      <c r="C29" t="s">
        <v>10</v>
      </c>
      <c r="D29">
        <v>4.8499999999999996</v>
      </c>
      <c r="E29">
        <v>3.2460000000000003E-2</v>
      </c>
      <c r="F29">
        <f t="shared" si="0"/>
        <v>8.2753603150078302E-4</v>
      </c>
    </row>
    <row r="30" spans="1:6">
      <c r="C30">
        <v>160</v>
      </c>
      <c r="D30">
        <v>6.35</v>
      </c>
      <c r="E30">
        <v>2.946E-2</v>
      </c>
      <c r="F30">
        <f t="shared" si="0"/>
        <v>6.8164046866807284E-4</v>
      </c>
    </row>
    <row r="31" spans="1:6">
      <c r="C31" t="s">
        <v>12</v>
      </c>
      <c r="D31">
        <v>9.6999999999999993</v>
      </c>
      <c r="E31">
        <v>2.2760000000000002E-2</v>
      </c>
      <c r="F31">
        <f t="shared" si="0"/>
        <v>4.068500716475541E-4</v>
      </c>
    </row>
    <row r="32" spans="1:6">
      <c r="A32">
        <v>1.5</v>
      </c>
      <c r="B32">
        <v>1.9</v>
      </c>
      <c r="C32" t="s">
        <v>11</v>
      </c>
      <c r="D32">
        <v>1.65</v>
      </c>
      <c r="E32">
        <v>4.496E-2</v>
      </c>
      <c r="F32">
        <f t="shared" si="0"/>
        <v>1.5876051041286636E-3</v>
      </c>
    </row>
    <row r="33" spans="1:6">
      <c r="C33" t="s">
        <v>8</v>
      </c>
      <c r="D33">
        <v>2.77</v>
      </c>
      <c r="E33">
        <v>4.2720000000000001E-2</v>
      </c>
      <c r="F33">
        <f t="shared" si="0"/>
        <v>1.4333503915632817E-3</v>
      </c>
    </row>
    <row r="34" spans="1:6">
      <c r="C34" t="s">
        <v>9</v>
      </c>
      <c r="D34">
        <v>3.68</v>
      </c>
      <c r="E34">
        <v>4.0890000000000003E-2</v>
      </c>
      <c r="F34">
        <f t="shared" si="0"/>
        <v>1.3131795245550429E-3</v>
      </c>
    </row>
    <row r="35" spans="1:6">
      <c r="C35" t="s">
        <v>10</v>
      </c>
      <c r="D35">
        <v>5.08</v>
      </c>
      <c r="E35">
        <v>3.8100000000000002E-2</v>
      </c>
      <c r="F35">
        <f t="shared" si="0"/>
        <v>1.1400918279693699E-3</v>
      </c>
    </row>
    <row r="36" spans="1:6">
      <c r="C36">
        <v>160</v>
      </c>
      <c r="D36">
        <v>7.14</v>
      </c>
      <c r="E36">
        <v>3.3989999999999999E-2</v>
      </c>
      <c r="F36">
        <f t="shared" si="0"/>
        <v>9.0738628467615617E-4</v>
      </c>
    </row>
    <row r="37" spans="1:6">
      <c r="C37" t="s">
        <v>12</v>
      </c>
      <c r="D37">
        <v>10.16</v>
      </c>
      <c r="E37">
        <v>2.794E-2</v>
      </c>
      <c r="F37">
        <f t="shared" si="0"/>
        <v>6.1311604970797225E-4</v>
      </c>
    </row>
    <row r="38" spans="1:6">
      <c r="A38">
        <v>2</v>
      </c>
      <c r="B38">
        <v>2.375</v>
      </c>
      <c r="C38" t="s">
        <v>11</v>
      </c>
      <c r="D38">
        <v>1.65</v>
      </c>
      <c r="E38">
        <v>5.7020000000000001E-2</v>
      </c>
      <c r="F38">
        <f t="shared" si="0"/>
        <v>2.5535496548501212E-3</v>
      </c>
    </row>
    <row r="39" spans="1:6">
      <c r="C39" t="s">
        <v>8</v>
      </c>
      <c r="D39">
        <v>2.77</v>
      </c>
      <c r="E39">
        <v>5.4789999999999998E-2</v>
      </c>
      <c r="F39">
        <f t="shared" si="0"/>
        <v>2.3577213827618054E-3</v>
      </c>
    </row>
    <row r="40" spans="1:6">
      <c r="C40" t="s">
        <v>9</v>
      </c>
      <c r="D40">
        <v>3.91</v>
      </c>
      <c r="E40">
        <v>5.2499999999999998E-2</v>
      </c>
      <c r="F40">
        <f t="shared" si="0"/>
        <v>2.1647536878642167E-3</v>
      </c>
    </row>
    <row r="41" spans="1:6">
      <c r="C41" t="s">
        <v>10</v>
      </c>
      <c r="D41">
        <v>5.54</v>
      </c>
      <c r="E41">
        <v>4.9250000000000002E-2</v>
      </c>
      <c r="F41">
        <f t="shared" si="0"/>
        <v>1.9050323327057233E-3</v>
      </c>
    </row>
    <row r="42" spans="1:6">
      <c r="C42">
        <v>160</v>
      </c>
      <c r="D42">
        <v>8.74</v>
      </c>
      <c r="E42">
        <v>4.2849999999999999E-2</v>
      </c>
      <c r="F42">
        <f t="shared" si="0"/>
        <v>1.4420872392727311E-3</v>
      </c>
    </row>
    <row r="43" spans="1:6">
      <c r="C43" t="s">
        <v>12</v>
      </c>
      <c r="D43">
        <v>11.07</v>
      </c>
      <c r="E43">
        <v>3.8179999999999999E-2</v>
      </c>
      <c r="F43">
        <f t="shared" si="0"/>
        <v>1.1448846417216865E-3</v>
      </c>
    </row>
    <row r="44" spans="1:6">
      <c r="A44">
        <v>2.5</v>
      </c>
      <c r="B44">
        <v>2.875</v>
      </c>
      <c r="C44" t="s">
        <v>11</v>
      </c>
      <c r="D44">
        <v>2.11</v>
      </c>
      <c r="E44">
        <v>6.8809999999999996E-2</v>
      </c>
      <c r="F44">
        <f t="shared" si="0"/>
        <v>3.7187158689646685E-3</v>
      </c>
    </row>
    <row r="45" spans="1:6">
      <c r="C45" t="s">
        <v>8</v>
      </c>
      <c r="D45">
        <v>3.05</v>
      </c>
      <c r="E45">
        <v>6.6930000000000003E-2</v>
      </c>
      <c r="F45">
        <f t="shared" si="0"/>
        <v>3.5182891691694783E-3</v>
      </c>
    </row>
    <row r="46" spans="1:6">
      <c r="C46" t="s">
        <v>9</v>
      </c>
      <c r="D46">
        <v>5.16</v>
      </c>
      <c r="E46">
        <v>6.2710000000000002E-2</v>
      </c>
      <c r="F46">
        <f t="shared" si="0"/>
        <v>3.0886129136194714E-3</v>
      </c>
    </row>
    <row r="47" spans="1:6">
      <c r="C47" t="s">
        <v>10</v>
      </c>
      <c r="D47">
        <v>7.01</v>
      </c>
      <c r="E47">
        <v>5.8999999999999997E-2</v>
      </c>
      <c r="F47">
        <f t="shared" si="0"/>
        <v>2.7339710067865171E-3</v>
      </c>
    </row>
    <row r="48" spans="1:6">
      <c r="C48">
        <v>160</v>
      </c>
      <c r="D48">
        <v>9.5299999999999994</v>
      </c>
      <c r="E48">
        <v>5.398E-2</v>
      </c>
      <c r="F48">
        <f t="shared" si="0"/>
        <v>2.2885248985932858E-3</v>
      </c>
    </row>
    <row r="49" spans="1:6">
      <c r="C49" t="s">
        <v>12</v>
      </c>
      <c r="D49">
        <v>14.02</v>
      </c>
      <c r="E49">
        <v>4.4979999999999999E-2</v>
      </c>
      <c r="F49">
        <f t="shared" si="0"/>
        <v>1.5890178783449828E-3</v>
      </c>
    </row>
    <row r="50" spans="1:6">
      <c r="A50">
        <v>3</v>
      </c>
      <c r="B50">
        <v>3.5</v>
      </c>
      <c r="C50" t="s">
        <v>11</v>
      </c>
      <c r="D50">
        <v>2.11</v>
      </c>
      <c r="E50">
        <v>8.4680000000000005E-2</v>
      </c>
      <c r="F50">
        <f t="shared" si="0"/>
        <v>5.6318564952296752E-3</v>
      </c>
    </row>
    <row r="51" spans="1:6">
      <c r="C51" t="s">
        <v>8</v>
      </c>
      <c r="D51">
        <v>3.05</v>
      </c>
      <c r="E51">
        <v>8.2799999999999999E-2</v>
      </c>
      <c r="F51">
        <f t="shared" si="0"/>
        <v>5.3845641445467623E-3</v>
      </c>
    </row>
    <row r="52" spans="1:6">
      <c r="C52" t="s">
        <v>9</v>
      </c>
      <c r="D52">
        <v>5.49</v>
      </c>
      <c r="E52">
        <v>7.7930000000000013E-2</v>
      </c>
      <c r="F52">
        <f t="shared" si="0"/>
        <v>4.769789726616778E-3</v>
      </c>
    </row>
    <row r="53" spans="1:6">
      <c r="C53" t="s">
        <v>10</v>
      </c>
      <c r="D53">
        <v>7.62</v>
      </c>
      <c r="E53">
        <v>7.3660000000000003E-2</v>
      </c>
      <c r="F53">
        <f t="shared" si="0"/>
        <v>4.2614098992099564E-3</v>
      </c>
    </row>
    <row r="54" spans="1:6">
      <c r="C54">
        <v>160</v>
      </c>
      <c r="D54">
        <v>11.13</v>
      </c>
      <c r="E54">
        <v>6.6650000000000001E-2</v>
      </c>
      <c r="F54">
        <f t="shared" si="0"/>
        <v>3.4889133929028216E-3</v>
      </c>
    </row>
    <row r="55" spans="1:6">
      <c r="C55" t="s">
        <v>12</v>
      </c>
      <c r="D55">
        <v>15.24</v>
      </c>
      <c r="E55">
        <v>5.842E-2</v>
      </c>
      <c r="F55">
        <f t="shared" si="0"/>
        <v>2.6804825644257627E-3</v>
      </c>
    </row>
    <row r="56" spans="1:6">
      <c r="A56">
        <v>4</v>
      </c>
      <c r="B56">
        <v>4.5</v>
      </c>
      <c r="C56" t="s">
        <v>11</v>
      </c>
      <c r="D56">
        <v>2.11</v>
      </c>
      <c r="E56">
        <v>0.11009999999999999</v>
      </c>
      <c r="F56">
        <f t="shared" si="0"/>
        <v>9.5206043906854998E-3</v>
      </c>
    </row>
    <row r="57" spans="1:6">
      <c r="C57" t="s">
        <v>8</v>
      </c>
      <c r="D57">
        <v>3.05</v>
      </c>
      <c r="E57">
        <v>0.1082</v>
      </c>
      <c r="F57">
        <f t="shared" si="0"/>
        <v>9.1948447944531428E-3</v>
      </c>
    </row>
    <row r="58" spans="1:6">
      <c r="C58" t="s">
        <v>9</v>
      </c>
      <c r="D58">
        <v>6.02</v>
      </c>
      <c r="E58">
        <v>0.1023</v>
      </c>
      <c r="F58">
        <f t="shared" si="0"/>
        <v>8.2194195454216804E-3</v>
      </c>
    </row>
    <row r="59" spans="1:6">
      <c r="C59" t="s">
        <v>10</v>
      </c>
      <c r="D59">
        <v>8.56</v>
      </c>
      <c r="E59">
        <v>9.7200000000000009E-2</v>
      </c>
      <c r="F59">
        <f t="shared" si="0"/>
        <v>7.4203161840729484E-3</v>
      </c>
    </row>
    <row r="60" spans="1:6">
      <c r="C60">
        <v>120</v>
      </c>
      <c r="D60">
        <v>11.13</v>
      </c>
      <c r="E60">
        <v>9.1999999999999998E-2</v>
      </c>
      <c r="F60">
        <f t="shared" si="0"/>
        <v>6.6476100549960025E-3</v>
      </c>
    </row>
    <row r="61" spans="1:6">
      <c r="C61">
        <v>160</v>
      </c>
      <c r="D61">
        <v>13.49</v>
      </c>
      <c r="E61">
        <v>8.7300000000000003E-2</v>
      </c>
      <c r="F61">
        <f t="shared" si="0"/>
        <v>5.9857471687193393E-3</v>
      </c>
    </row>
    <row r="62" spans="1:6">
      <c r="C62" t="s">
        <v>12</v>
      </c>
      <c r="D62">
        <v>17.12</v>
      </c>
      <c r="E62">
        <v>8.0099999999999991E-2</v>
      </c>
      <c r="F62">
        <f t="shared" si="0"/>
        <v>5.0391224703396614E-3</v>
      </c>
    </row>
    <row r="63" spans="1:6">
      <c r="A63">
        <v>5</v>
      </c>
      <c r="B63">
        <v>5.5629999999999997</v>
      </c>
      <c r="C63" t="s">
        <v>11</v>
      </c>
      <c r="D63">
        <v>2.77</v>
      </c>
      <c r="E63">
        <v>0.1358</v>
      </c>
      <c r="F63">
        <f t="shared" si="0"/>
        <v>1.4484030186036919E-2</v>
      </c>
    </row>
    <row r="64" spans="1:6">
      <c r="C64" t="s">
        <v>8</v>
      </c>
      <c r="D64">
        <v>3.4</v>
      </c>
      <c r="E64">
        <v>0.13450000000000001</v>
      </c>
      <c r="F64">
        <f t="shared" si="0"/>
        <v>1.420804912540069E-2</v>
      </c>
    </row>
    <row r="65" spans="1:6">
      <c r="C65" t="s">
        <v>9</v>
      </c>
      <c r="D65">
        <v>6.55</v>
      </c>
      <c r="E65">
        <v>0.12819999999999998</v>
      </c>
      <c r="F65">
        <f t="shared" si="0"/>
        <v>1.2908207310996274E-2</v>
      </c>
    </row>
    <row r="66" spans="1:6">
      <c r="C66" t="s">
        <v>10</v>
      </c>
      <c r="D66">
        <v>9.5299999999999994</v>
      </c>
      <c r="E66">
        <v>0.12229999999999999</v>
      </c>
      <c r="F66">
        <f t="shared" si="0"/>
        <v>1.1747428095403018E-2</v>
      </c>
    </row>
    <row r="67" spans="1:6">
      <c r="C67">
        <v>120</v>
      </c>
      <c r="D67">
        <v>12.7</v>
      </c>
      <c r="E67">
        <v>0.1159</v>
      </c>
      <c r="F67">
        <f t="shared" ref="F67:F130" si="1">PI()*E67*E67/4</f>
        <v>1.0550104303266878E-2</v>
      </c>
    </row>
    <row r="68" spans="1:6">
      <c r="C68">
        <v>160</v>
      </c>
      <c r="D68">
        <v>15.88</v>
      </c>
      <c r="E68">
        <v>0.10959999999999999</v>
      </c>
      <c r="F68">
        <f t="shared" si="1"/>
        <v>9.4343284024362914E-3</v>
      </c>
    </row>
    <row r="69" spans="1:6">
      <c r="C69" t="s">
        <v>12</v>
      </c>
      <c r="D69">
        <v>19.05</v>
      </c>
      <c r="E69">
        <v>0.1032</v>
      </c>
      <c r="F69">
        <f t="shared" si="1"/>
        <v>8.3646789357420398E-3</v>
      </c>
    </row>
    <row r="70" spans="1:6">
      <c r="A70">
        <v>6</v>
      </c>
      <c r="B70">
        <v>6.625</v>
      </c>
      <c r="C70" t="s">
        <v>11</v>
      </c>
      <c r="D70">
        <v>2.77</v>
      </c>
      <c r="E70">
        <v>0.16269999999999998</v>
      </c>
      <c r="F70">
        <f t="shared" si="1"/>
        <v>2.0790502548761233E-2</v>
      </c>
    </row>
    <row r="71" spans="1:6">
      <c r="C71" t="s">
        <v>8</v>
      </c>
      <c r="D71">
        <v>3.4</v>
      </c>
      <c r="E71">
        <v>0.1615</v>
      </c>
      <c r="F71">
        <f t="shared" si="1"/>
        <v>2.0484951247273096E-2</v>
      </c>
    </row>
    <row r="72" spans="1:6">
      <c r="C72" t="s">
        <v>9</v>
      </c>
      <c r="D72">
        <v>7.11</v>
      </c>
      <c r="E72">
        <v>0.15409999999999999</v>
      </c>
      <c r="F72">
        <f t="shared" si="1"/>
        <v>1.8650700960548154E-2</v>
      </c>
    </row>
    <row r="73" spans="1:6">
      <c r="C73" t="s">
        <v>10</v>
      </c>
      <c r="D73">
        <v>10.97</v>
      </c>
      <c r="E73">
        <v>0.14630000000000001</v>
      </c>
      <c r="F73">
        <f t="shared" si="1"/>
        <v>1.6810418815928332E-2</v>
      </c>
    </row>
    <row r="74" spans="1:6">
      <c r="C74">
        <v>120</v>
      </c>
      <c r="D74">
        <v>14.27</v>
      </c>
      <c r="E74">
        <v>0.13969999999999999</v>
      </c>
      <c r="F74">
        <f t="shared" si="1"/>
        <v>1.5327901242699305E-2</v>
      </c>
    </row>
    <row r="75" spans="1:6">
      <c r="C75">
        <v>160</v>
      </c>
      <c r="D75">
        <v>18.260000000000002</v>
      </c>
      <c r="E75">
        <v>0.13669999999999999</v>
      </c>
      <c r="F75">
        <f t="shared" si="1"/>
        <v>1.4676649085610139E-2</v>
      </c>
    </row>
    <row r="76" spans="1:6">
      <c r="C76" t="s">
        <v>12</v>
      </c>
      <c r="D76">
        <v>21.95</v>
      </c>
      <c r="E76">
        <v>0.12440000000000001</v>
      </c>
      <c r="F76">
        <f t="shared" si="1"/>
        <v>1.2154319321914337E-2</v>
      </c>
    </row>
    <row r="77" spans="1:6">
      <c r="A77">
        <v>8</v>
      </c>
      <c r="B77">
        <v>8.625</v>
      </c>
      <c r="C77" t="s">
        <v>11</v>
      </c>
      <c r="D77">
        <v>2.77</v>
      </c>
      <c r="E77">
        <v>0.2135</v>
      </c>
      <c r="F77">
        <f t="shared" si="1"/>
        <v>3.5800215433523339E-2</v>
      </c>
    </row>
    <row r="78" spans="1:6">
      <c r="C78" t="s">
        <v>8</v>
      </c>
      <c r="D78">
        <v>3.76</v>
      </c>
      <c r="E78">
        <v>0.21159999999999998</v>
      </c>
      <c r="F78">
        <f t="shared" si="1"/>
        <v>3.5165857190928844E-2</v>
      </c>
    </row>
    <row r="79" spans="1:6">
      <c r="C79">
        <v>20</v>
      </c>
      <c r="D79">
        <v>6.35</v>
      </c>
      <c r="E79">
        <v>0.2064</v>
      </c>
      <c r="F79">
        <f t="shared" si="1"/>
        <v>3.3458715742968159E-2</v>
      </c>
    </row>
    <row r="80" spans="1:6">
      <c r="C80">
        <v>30</v>
      </c>
      <c r="D80">
        <v>7.04</v>
      </c>
      <c r="E80">
        <v>0.20499999999999999</v>
      </c>
      <c r="F80">
        <f t="shared" si="1"/>
        <v>3.3006357816777757E-2</v>
      </c>
    </row>
    <row r="81" spans="1:6">
      <c r="C81" t="s">
        <v>9</v>
      </c>
      <c r="D81">
        <v>8.18</v>
      </c>
      <c r="E81">
        <v>0.20269999999999999</v>
      </c>
      <c r="F81">
        <f t="shared" si="1"/>
        <v>3.2269882104978338E-2</v>
      </c>
    </row>
    <row r="82" spans="1:6">
      <c r="C82">
        <v>60</v>
      </c>
      <c r="D82">
        <v>10.31</v>
      </c>
      <c r="E82">
        <v>0.19850000000000001</v>
      </c>
      <c r="F82">
        <f t="shared" si="1"/>
        <v>3.0946454783727113E-2</v>
      </c>
    </row>
    <row r="83" spans="1:6">
      <c r="C83" t="s">
        <v>10</v>
      </c>
      <c r="D83">
        <v>12.7</v>
      </c>
      <c r="E83">
        <v>0.19369999999999998</v>
      </c>
      <c r="F83">
        <f t="shared" si="1"/>
        <v>2.9467895617241602E-2</v>
      </c>
    </row>
    <row r="84" spans="1:6">
      <c r="C84">
        <v>100</v>
      </c>
      <c r="D84">
        <v>15.09</v>
      </c>
      <c r="E84">
        <v>0.18890000000000001</v>
      </c>
      <c r="F84">
        <f t="shared" si="1"/>
        <v>2.8025527598125467E-2</v>
      </c>
    </row>
    <row r="85" spans="1:6">
      <c r="C85">
        <v>120</v>
      </c>
      <c r="D85">
        <v>18.260000000000002</v>
      </c>
      <c r="E85">
        <v>0.1825</v>
      </c>
      <c r="F85">
        <f t="shared" si="1"/>
        <v>2.6158667579656261E-2</v>
      </c>
    </row>
    <row r="86" spans="1:6">
      <c r="C86">
        <v>140</v>
      </c>
      <c r="D86">
        <v>20.62</v>
      </c>
      <c r="E86">
        <v>0.17780000000000001</v>
      </c>
      <c r="F86">
        <f t="shared" si="1"/>
        <v>2.4828666475777392E-2</v>
      </c>
    </row>
    <row r="87" spans="1:6">
      <c r="C87" t="s">
        <v>12</v>
      </c>
      <c r="D87">
        <v>22.23</v>
      </c>
      <c r="E87">
        <v>0.17460000000000001</v>
      </c>
      <c r="F87">
        <f t="shared" si="1"/>
        <v>2.3942988674877357E-2</v>
      </c>
    </row>
    <row r="88" spans="1:6">
      <c r="C88">
        <v>160</v>
      </c>
      <c r="D88">
        <v>23.01</v>
      </c>
      <c r="E88">
        <v>0.1731</v>
      </c>
      <c r="F88">
        <f t="shared" si="1"/>
        <v>2.3533364262757418E-2</v>
      </c>
    </row>
    <row r="89" spans="1:6">
      <c r="A89">
        <v>10</v>
      </c>
      <c r="B89">
        <v>10.75</v>
      </c>
      <c r="C89" t="s">
        <v>11</v>
      </c>
      <c r="D89">
        <v>3.4</v>
      </c>
      <c r="E89">
        <v>0.26619999999999999</v>
      </c>
      <c r="F89">
        <f t="shared" si="1"/>
        <v>5.5655230229861873E-2</v>
      </c>
    </row>
    <row r="90" spans="1:6">
      <c r="C90" t="s">
        <v>8</v>
      </c>
      <c r="D90">
        <v>4.1900000000000004</v>
      </c>
      <c r="E90">
        <v>0.26469999999999999</v>
      </c>
      <c r="F90">
        <f t="shared" si="1"/>
        <v>5.5029778402440312E-2</v>
      </c>
    </row>
    <row r="91" spans="1:6">
      <c r="C91">
        <v>20</v>
      </c>
      <c r="D91">
        <v>6.35</v>
      </c>
      <c r="E91">
        <v>0.26039999999999996</v>
      </c>
      <c r="F91">
        <f t="shared" si="1"/>
        <v>5.3256404327360299E-2</v>
      </c>
    </row>
    <row r="92" spans="1:6">
      <c r="C92">
        <v>30</v>
      </c>
      <c r="D92">
        <v>7.8</v>
      </c>
      <c r="E92">
        <v>0.25750000000000001</v>
      </c>
      <c r="F92">
        <f t="shared" si="1"/>
        <v>5.2076806971772055E-2</v>
      </c>
    </row>
    <row r="93" spans="1:6">
      <c r="C93" t="s">
        <v>9</v>
      </c>
      <c r="D93">
        <v>9.27</v>
      </c>
      <c r="E93">
        <v>0.2545</v>
      </c>
      <c r="F93">
        <f t="shared" si="1"/>
        <v>5.0870435392793574E-2</v>
      </c>
    </row>
    <row r="94" spans="1:6">
      <c r="C94" t="s">
        <v>13</v>
      </c>
      <c r="D94">
        <v>12.7</v>
      </c>
      <c r="E94">
        <v>0.24769999999999998</v>
      </c>
      <c r="F94">
        <f t="shared" si="1"/>
        <v>4.8188332080717815E-2</v>
      </c>
    </row>
    <row r="95" spans="1:6">
      <c r="C95">
        <v>80</v>
      </c>
      <c r="D95">
        <v>15.09</v>
      </c>
      <c r="E95">
        <v>0.2429</v>
      </c>
      <c r="F95">
        <f t="shared" si="1"/>
        <v>4.6338813653696444E-2</v>
      </c>
    </row>
    <row r="96" spans="1:6">
      <c r="C96">
        <v>100</v>
      </c>
      <c r="D96">
        <v>18.260000000000002</v>
      </c>
      <c r="E96">
        <v>0.23649999999999999</v>
      </c>
      <c r="F96">
        <f t="shared" si="1"/>
        <v>4.3929086424686924E-2</v>
      </c>
    </row>
    <row r="97" spans="1:6">
      <c r="C97">
        <v>120</v>
      </c>
      <c r="D97">
        <v>21.44</v>
      </c>
      <c r="E97">
        <v>0.23019999999999999</v>
      </c>
      <c r="F97">
        <f t="shared" si="1"/>
        <v>4.161985089068411E-2</v>
      </c>
    </row>
    <row r="98" spans="1:6">
      <c r="C98" t="s">
        <v>14</v>
      </c>
      <c r="D98">
        <v>25.4</v>
      </c>
      <c r="E98">
        <v>0.2223</v>
      </c>
      <c r="F98">
        <f t="shared" si="1"/>
        <v>3.8812248806079086E-2</v>
      </c>
    </row>
    <row r="99" spans="1:6">
      <c r="C99">
        <v>160</v>
      </c>
      <c r="D99">
        <v>28.58</v>
      </c>
      <c r="E99">
        <v>0.21590000000000001</v>
      </c>
      <c r="F99">
        <f t="shared" si="1"/>
        <v>3.6609615364794214E-2</v>
      </c>
    </row>
    <row r="100" spans="1:6">
      <c r="A100">
        <v>12</v>
      </c>
      <c r="B100">
        <v>12.75</v>
      </c>
      <c r="C100" t="s">
        <v>11</v>
      </c>
      <c r="D100">
        <v>3.96</v>
      </c>
      <c r="E100">
        <v>0.31589999999999996</v>
      </c>
      <c r="F100">
        <f t="shared" si="1"/>
        <v>7.8377089694270499E-2</v>
      </c>
    </row>
    <row r="101" spans="1:6">
      <c r="C101" t="s">
        <v>8</v>
      </c>
      <c r="D101">
        <v>4.57</v>
      </c>
      <c r="E101">
        <v>0.31469999999999998</v>
      </c>
      <c r="F101">
        <f t="shared" si="1"/>
        <v>7.7782763196064392E-2</v>
      </c>
    </row>
    <row r="102" spans="1:6">
      <c r="C102">
        <v>20</v>
      </c>
      <c r="D102">
        <v>6.35</v>
      </c>
      <c r="E102">
        <v>0.31119999999999998</v>
      </c>
      <c r="F102">
        <f t="shared" si="1"/>
        <v>7.6062230709417755E-2</v>
      </c>
    </row>
    <row r="103" spans="1:6">
      <c r="C103">
        <v>30</v>
      </c>
      <c r="D103">
        <v>8.3800000000000008</v>
      </c>
      <c r="E103">
        <v>0.30710000000000004</v>
      </c>
      <c r="F103">
        <f t="shared" si="1"/>
        <v>7.4071222803260367E-2</v>
      </c>
    </row>
    <row r="104" spans="1:6">
      <c r="C104" t="s">
        <v>15</v>
      </c>
      <c r="D104">
        <v>9.5299999999999994</v>
      </c>
      <c r="E104">
        <v>0.30480000000000002</v>
      </c>
      <c r="F104">
        <f t="shared" si="1"/>
        <v>7.2965876990039674E-2</v>
      </c>
    </row>
    <row r="105" spans="1:6">
      <c r="C105">
        <v>40</v>
      </c>
      <c r="D105">
        <v>10.31</v>
      </c>
      <c r="E105">
        <v>0.30419999999999997</v>
      </c>
      <c r="F105">
        <f t="shared" si="1"/>
        <v>7.2678892501134226E-2</v>
      </c>
    </row>
    <row r="106" spans="1:6">
      <c r="C106" t="s">
        <v>16</v>
      </c>
      <c r="D106">
        <v>12.7</v>
      </c>
      <c r="E106">
        <v>0.29849999999999999</v>
      </c>
      <c r="F106">
        <f t="shared" si="1"/>
        <v>6.9980743504580278E-2</v>
      </c>
    </row>
    <row r="107" spans="1:6">
      <c r="C107">
        <v>60</v>
      </c>
      <c r="D107">
        <v>14.27</v>
      </c>
      <c r="E107">
        <v>0.29530000000000001</v>
      </c>
      <c r="F107">
        <f t="shared" si="1"/>
        <v>6.8488361330418995E-2</v>
      </c>
    </row>
    <row r="108" spans="1:6">
      <c r="C108">
        <v>80</v>
      </c>
      <c r="D108">
        <v>17.48</v>
      </c>
      <c r="E108">
        <v>0.28889999999999999</v>
      </c>
      <c r="F108">
        <f t="shared" si="1"/>
        <v>6.555185184525554E-2</v>
      </c>
    </row>
    <row r="109" spans="1:6">
      <c r="C109">
        <v>100</v>
      </c>
      <c r="D109">
        <v>21.44</v>
      </c>
      <c r="E109">
        <v>0.28100000000000003</v>
      </c>
      <c r="F109">
        <f t="shared" si="1"/>
        <v>6.2015824380025925E-2</v>
      </c>
    </row>
    <row r="110" spans="1:6">
      <c r="C110" t="s">
        <v>17</v>
      </c>
      <c r="D110">
        <v>25.4</v>
      </c>
      <c r="E110">
        <v>0.27310000000000001</v>
      </c>
      <c r="F110">
        <f t="shared" si="1"/>
        <v>5.8577830313551557E-2</v>
      </c>
    </row>
    <row r="111" spans="1:6">
      <c r="C111">
        <v>140</v>
      </c>
      <c r="D111">
        <v>28.58</v>
      </c>
      <c r="E111">
        <v>0.26669999999999999</v>
      </c>
      <c r="F111">
        <f t="shared" si="1"/>
        <v>5.5864499570499125E-2</v>
      </c>
    </row>
    <row r="112" spans="1:6">
      <c r="C112">
        <v>160</v>
      </c>
      <c r="D112">
        <v>33.32</v>
      </c>
      <c r="E112">
        <v>0.25719999999999998</v>
      </c>
      <c r="F112">
        <f t="shared" si="1"/>
        <v>5.1955533641361851E-2</v>
      </c>
    </row>
    <row r="113" spans="1:6">
      <c r="A113">
        <v>14</v>
      </c>
      <c r="B113">
        <v>14</v>
      </c>
      <c r="C113">
        <v>10</v>
      </c>
      <c r="D113">
        <v>6.35</v>
      </c>
      <c r="E113">
        <v>0.34289999999999998</v>
      </c>
      <c r="F113">
        <f t="shared" si="1"/>
        <v>9.2347438065518955E-2</v>
      </c>
    </row>
    <row r="114" spans="1:6">
      <c r="C114">
        <v>20</v>
      </c>
      <c r="D114">
        <v>7.92</v>
      </c>
      <c r="E114">
        <v>0.33979999999999999</v>
      </c>
      <c r="F114">
        <f t="shared" si="1"/>
        <v>9.0685244954449504E-2</v>
      </c>
    </row>
    <row r="115" spans="1:6">
      <c r="C115" t="s">
        <v>18</v>
      </c>
      <c r="D115">
        <v>9.5299999999999994</v>
      </c>
      <c r="E115">
        <v>0.33660000000000001</v>
      </c>
      <c r="F115">
        <f t="shared" si="1"/>
        <v>8.8985266337738997E-2</v>
      </c>
    </row>
    <row r="116" spans="1:6">
      <c r="C116">
        <v>40</v>
      </c>
      <c r="D116">
        <v>11.13</v>
      </c>
      <c r="E116">
        <v>0.33329999999999999</v>
      </c>
      <c r="F116">
        <f t="shared" si="1"/>
        <v>8.7249010179861156E-2</v>
      </c>
    </row>
    <row r="117" spans="1:6">
      <c r="C117" t="s">
        <v>19</v>
      </c>
      <c r="D117">
        <v>12.7</v>
      </c>
      <c r="E117">
        <v>0.33019999999999999</v>
      </c>
      <c r="F117">
        <f t="shared" si="1"/>
        <v>8.5633563967477122E-2</v>
      </c>
    </row>
    <row r="118" spans="1:6">
      <c r="C118">
        <v>60</v>
      </c>
      <c r="D118">
        <v>15.09</v>
      </c>
      <c r="E118">
        <v>0.32539999999999997</v>
      </c>
      <c r="F118">
        <f t="shared" si="1"/>
        <v>8.3162010195044933E-2</v>
      </c>
    </row>
    <row r="119" spans="1:6">
      <c r="C119">
        <v>80</v>
      </c>
      <c r="D119">
        <v>19.05</v>
      </c>
      <c r="E119">
        <v>0.3175</v>
      </c>
      <c r="F119">
        <f t="shared" si="1"/>
        <v>7.9173043608984028E-2</v>
      </c>
    </row>
    <row r="120" spans="1:6">
      <c r="C120">
        <v>100</v>
      </c>
      <c r="D120">
        <v>23.83</v>
      </c>
      <c r="E120">
        <v>0.308</v>
      </c>
      <c r="F120">
        <f t="shared" si="1"/>
        <v>7.4506011372535527E-2</v>
      </c>
    </row>
    <row r="121" spans="1:6">
      <c r="C121">
        <v>120</v>
      </c>
      <c r="D121">
        <v>27.79</v>
      </c>
      <c r="E121">
        <v>0.3</v>
      </c>
      <c r="F121">
        <f t="shared" si="1"/>
        <v>7.0685834705770348E-2</v>
      </c>
    </row>
    <row r="122" spans="1:6">
      <c r="C122">
        <v>140</v>
      </c>
      <c r="D122">
        <v>31.75</v>
      </c>
      <c r="E122">
        <v>0.29210000000000003</v>
      </c>
      <c r="F122">
        <f t="shared" si="1"/>
        <v>6.7012064110644087E-2</v>
      </c>
    </row>
    <row r="123" spans="1:6">
      <c r="C123">
        <v>160</v>
      </c>
      <c r="D123">
        <v>35.71</v>
      </c>
      <c r="E123">
        <v>0.28420000000000001</v>
      </c>
      <c r="F123">
        <f t="shared" si="1"/>
        <v>6.3436326914273075E-2</v>
      </c>
    </row>
    <row r="124" spans="1:6">
      <c r="A124">
        <v>16</v>
      </c>
      <c r="B124">
        <v>16</v>
      </c>
      <c r="C124">
        <v>10</v>
      </c>
      <c r="D124">
        <v>6.35</v>
      </c>
      <c r="E124">
        <v>0.39369999999999999</v>
      </c>
      <c r="F124">
        <f t="shared" si="1"/>
        <v>0.12173647185317384</v>
      </c>
    </row>
    <row r="125" spans="1:6">
      <c r="C125">
        <v>20</v>
      </c>
      <c r="D125">
        <v>7.92</v>
      </c>
      <c r="E125">
        <v>0.3906</v>
      </c>
      <c r="F125">
        <f t="shared" si="1"/>
        <v>0.11982690973656071</v>
      </c>
    </row>
    <row r="126" spans="1:6">
      <c r="C126" t="s">
        <v>20</v>
      </c>
      <c r="D126">
        <v>9.5299999999999994</v>
      </c>
      <c r="E126">
        <v>0.38739999999999997</v>
      </c>
      <c r="F126">
        <f t="shared" si="1"/>
        <v>0.11787158246896641</v>
      </c>
    </row>
    <row r="127" spans="1:6">
      <c r="C127" t="s">
        <v>21</v>
      </c>
      <c r="D127">
        <v>12.7</v>
      </c>
      <c r="E127">
        <v>0.38100000000000001</v>
      </c>
      <c r="F127">
        <f t="shared" si="1"/>
        <v>0.11400918279693699</v>
      </c>
    </row>
    <row r="128" spans="1:6">
      <c r="C128">
        <v>60</v>
      </c>
      <c r="D128">
        <v>16.66</v>
      </c>
      <c r="E128">
        <v>0.37310000000000004</v>
      </c>
      <c r="F128">
        <f t="shared" si="1"/>
        <v>0.1093302596322947</v>
      </c>
    </row>
    <row r="129" spans="1:6">
      <c r="C129">
        <v>80</v>
      </c>
      <c r="D129">
        <v>21.44</v>
      </c>
      <c r="E129">
        <v>0.36349999999999999</v>
      </c>
      <c r="F129">
        <f t="shared" si="1"/>
        <v>0.10377642647557249</v>
      </c>
    </row>
    <row r="130" spans="1:6">
      <c r="C130">
        <v>100</v>
      </c>
      <c r="D130">
        <v>26.19</v>
      </c>
      <c r="E130">
        <v>0.35399999999999998</v>
      </c>
      <c r="F130">
        <f t="shared" si="1"/>
        <v>9.8422956244314616E-2</v>
      </c>
    </row>
    <row r="131" spans="1:6">
      <c r="C131">
        <v>120</v>
      </c>
      <c r="D131">
        <v>30.96</v>
      </c>
      <c r="E131">
        <v>0.34449999999999997</v>
      </c>
      <c r="F131">
        <f t="shared" ref="F131:F194" si="2">PI()*E131*E131/4</f>
        <v>9.3211250381549995E-2</v>
      </c>
    </row>
    <row r="132" spans="1:6">
      <c r="C132">
        <v>140</v>
      </c>
      <c r="D132">
        <v>36.53</v>
      </c>
      <c r="E132">
        <v>0.33329999999999999</v>
      </c>
      <c r="F132">
        <f t="shared" si="2"/>
        <v>8.7249010179861156E-2</v>
      </c>
    </row>
    <row r="133" spans="1:6">
      <c r="C133">
        <v>160</v>
      </c>
      <c r="D133">
        <v>40.49</v>
      </c>
      <c r="E133">
        <v>0.32539999999999997</v>
      </c>
      <c r="F133">
        <f t="shared" si="2"/>
        <v>8.3162010195044933E-2</v>
      </c>
    </row>
    <row r="134" spans="1:6">
      <c r="A134">
        <v>18</v>
      </c>
      <c r="B134">
        <v>18</v>
      </c>
      <c r="C134">
        <v>10</v>
      </c>
      <c r="D134">
        <v>6.35</v>
      </c>
      <c r="E134">
        <v>0.44450000000000001</v>
      </c>
      <c r="F134">
        <f t="shared" si="2"/>
        <v>0.15517916547360869</v>
      </c>
    </row>
    <row r="135" spans="1:6">
      <c r="C135">
        <v>20</v>
      </c>
      <c r="D135">
        <v>7.92</v>
      </c>
      <c r="E135">
        <v>0.44130000000000003</v>
      </c>
      <c r="F135">
        <f t="shared" si="2"/>
        <v>0.15295290725556884</v>
      </c>
    </row>
    <row r="136" spans="1:6">
      <c r="C136" t="s">
        <v>22</v>
      </c>
      <c r="D136">
        <v>9.5299999999999994</v>
      </c>
      <c r="E136">
        <v>0.43810000000000004</v>
      </c>
      <c r="F136">
        <f t="shared" si="2"/>
        <v>0.15074273399191535</v>
      </c>
    </row>
    <row r="137" spans="1:6">
      <c r="C137">
        <v>30</v>
      </c>
      <c r="D137">
        <v>11.13</v>
      </c>
      <c r="E137">
        <v>0.43489999999999995</v>
      </c>
      <c r="F137">
        <f t="shared" si="2"/>
        <v>0.14854864568264817</v>
      </c>
    </row>
    <row r="138" spans="1:6">
      <c r="C138" t="s">
        <v>19</v>
      </c>
      <c r="D138">
        <v>12.7</v>
      </c>
      <c r="E138">
        <v>0.43180000000000002</v>
      </c>
      <c r="F138">
        <f t="shared" si="2"/>
        <v>0.14643846145917686</v>
      </c>
    </row>
    <row r="139" spans="1:6">
      <c r="C139">
        <v>40</v>
      </c>
      <c r="D139">
        <v>14.27</v>
      </c>
      <c r="E139">
        <v>0.42869999999999997</v>
      </c>
      <c r="F139">
        <f t="shared" si="2"/>
        <v>0.14434337258840596</v>
      </c>
    </row>
    <row r="140" spans="1:6">
      <c r="C140">
        <v>60</v>
      </c>
      <c r="D140">
        <v>19.05</v>
      </c>
      <c r="E140">
        <v>0.41910000000000003</v>
      </c>
      <c r="F140">
        <f t="shared" si="2"/>
        <v>0.13795111118429379</v>
      </c>
    </row>
    <row r="141" spans="1:6">
      <c r="C141">
        <v>80</v>
      </c>
      <c r="D141">
        <v>23.83</v>
      </c>
      <c r="E141">
        <v>0.40949999999999998</v>
      </c>
      <c r="F141">
        <f t="shared" si="2"/>
        <v>0.13170361436965894</v>
      </c>
    </row>
    <row r="142" spans="1:6">
      <c r="C142">
        <v>100</v>
      </c>
      <c r="D142">
        <v>29.36</v>
      </c>
      <c r="E142">
        <v>0.39850000000000002</v>
      </c>
      <c r="F142">
        <f t="shared" si="2"/>
        <v>0.12472299549338245</v>
      </c>
    </row>
    <row r="143" spans="1:6">
      <c r="C143">
        <v>120</v>
      </c>
      <c r="D143">
        <v>34.93</v>
      </c>
      <c r="E143">
        <v>0.38730000000000003</v>
      </c>
      <c r="F143">
        <f t="shared" si="2"/>
        <v>0.11781073767324804</v>
      </c>
    </row>
    <row r="144" spans="1:6">
      <c r="C144">
        <v>140</v>
      </c>
      <c r="D144">
        <v>39.67</v>
      </c>
      <c r="E144">
        <v>0.37789999999999996</v>
      </c>
      <c r="F144">
        <f t="shared" si="2"/>
        <v>0.11216146293170975</v>
      </c>
    </row>
    <row r="145" spans="1:6">
      <c r="C145">
        <v>160</v>
      </c>
      <c r="D145">
        <v>45.24</v>
      </c>
      <c r="E145">
        <v>0.36669999999999997</v>
      </c>
      <c r="F145">
        <f t="shared" si="2"/>
        <v>0.10561161924009348</v>
      </c>
    </row>
    <row r="146" spans="1:6">
      <c r="A146">
        <v>20</v>
      </c>
      <c r="B146">
        <v>20</v>
      </c>
      <c r="C146">
        <v>10</v>
      </c>
      <c r="D146">
        <v>6.35</v>
      </c>
      <c r="E146">
        <v>0.49530000000000002</v>
      </c>
      <c r="F146">
        <f t="shared" si="2"/>
        <v>0.19267551892682352</v>
      </c>
    </row>
    <row r="147" spans="1:6">
      <c r="C147" t="s">
        <v>23</v>
      </c>
      <c r="D147">
        <v>9.5299999999999994</v>
      </c>
      <c r="E147">
        <v>0.4889</v>
      </c>
      <c r="F147">
        <f t="shared" si="2"/>
        <v>0.18772839014336259</v>
      </c>
    </row>
    <row r="148" spans="1:6">
      <c r="C148" t="s">
        <v>24</v>
      </c>
      <c r="D148">
        <v>12.7</v>
      </c>
      <c r="E148">
        <v>0.48260000000000003</v>
      </c>
      <c r="F148">
        <f t="shared" si="2"/>
        <v>0.18292139995419671</v>
      </c>
    </row>
    <row r="149" spans="1:6">
      <c r="C149">
        <v>40</v>
      </c>
      <c r="D149">
        <v>15.09</v>
      </c>
      <c r="E149">
        <v>0.4778</v>
      </c>
      <c r="F149">
        <f t="shared" si="2"/>
        <v>0.17930077725278751</v>
      </c>
    </row>
    <row r="150" spans="1:6">
      <c r="C150">
        <v>60</v>
      </c>
      <c r="D150">
        <v>20.62</v>
      </c>
      <c r="E150">
        <v>0.46679999999999999</v>
      </c>
      <c r="F150">
        <f t="shared" si="2"/>
        <v>0.17114001909618998</v>
      </c>
    </row>
    <row r="151" spans="1:6">
      <c r="C151">
        <v>80</v>
      </c>
      <c r="D151">
        <v>26.19</v>
      </c>
      <c r="E151">
        <v>0.4556</v>
      </c>
      <c r="F151">
        <f t="shared" si="2"/>
        <v>0.16302616491791058</v>
      </c>
    </row>
    <row r="152" spans="1:6">
      <c r="C152">
        <v>100</v>
      </c>
      <c r="D152">
        <v>32.54</v>
      </c>
      <c r="E152">
        <v>0.44289999999999996</v>
      </c>
      <c r="F152">
        <f t="shared" si="2"/>
        <v>0.15406402574529043</v>
      </c>
    </row>
    <row r="153" spans="1:6">
      <c r="C153">
        <v>120</v>
      </c>
      <c r="D153">
        <v>38.1</v>
      </c>
      <c r="E153">
        <v>0.43180000000000002</v>
      </c>
      <c r="F153">
        <f t="shared" si="2"/>
        <v>0.14643846145917686</v>
      </c>
    </row>
    <row r="154" spans="1:6">
      <c r="C154">
        <v>140</v>
      </c>
      <c r="D154">
        <v>44.45</v>
      </c>
      <c r="E154">
        <v>0.41910000000000003</v>
      </c>
      <c r="F154">
        <f t="shared" si="2"/>
        <v>0.13795111118429379</v>
      </c>
    </row>
    <row r="155" spans="1:6">
      <c r="C155">
        <v>160</v>
      </c>
      <c r="D155">
        <v>50.01</v>
      </c>
      <c r="E155">
        <v>0.40799999999999997</v>
      </c>
      <c r="F155">
        <f t="shared" si="2"/>
        <v>0.13074051987179283</v>
      </c>
    </row>
    <row r="156" spans="1:6">
      <c r="A156">
        <v>22</v>
      </c>
      <c r="B156">
        <v>22</v>
      </c>
      <c r="C156">
        <v>10</v>
      </c>
      <c r="D156">
        <v>6.35</v>
      </c>
      <c r="E156">
        <v>0.54630000000000001</v>
      </c>
      <c r="F156">
        <f t="shared" si="2"/>
        <v>0.23439712600355742</v>
      </c>
    </row>
    <row r="157" spans="1:6">
      <c r="C157" t="s">
        <v>23</v>
      </c>
      <c r="D157">
        <v>9.5299999999999994</v>
      </c>
      <c r="E157">
        <v>0.54</v>
      </c>
      <c r="F157">
        <f t="shared" si="2"/>
        <v>0.22902210444669596</v>
      </c>
    </row>
    <row r="158" spans="1:6">
      <c r="C158" t="s">
        <v>24</v>
      </c>
      <c r="D158">
        <v>12.7</v>
      </c>
      <c r="E158">
        <v>0.53360000000000007</v>
      </c>
      <c r="F158">
        <f t="shared" si="2"/>
        <v>0.22362560225006556</v>
      </c>
    </row>
    <row r="159" spans="1:6">
      <c r="C159">
        <v>60</v>
      </c>
      <c r="D159">
        <v>22.23</v>
      </c>
      <c r="E159">
        <v>0.51449999999999996</v>
      </c>
      <c r="F159">
        <f t="shared" si="2"/>
        <v>0.20790294418247934</v>
      </c>
    </row>
    <row r="160" spans="1:6">
      <c r="C160">
        <v>80</v>
      </c>
      <c r="D160">
        <v>28.58</v>
      </c>
      <c r="E160">
        <v>0.50180000000000002</v>
      </c>
      <c r="F160">
        <f t="shared" si="2"/>
        <v>0.19776580223352691</v>
      </c>
    </row>
    <row r="161" spans="1:6">
      <c r="C161">
        <v>100</v>
      </c>
      <c r="D161">
        <v>34.93</v>
      </c>
      <c r="E161">
        <v>0.48910000000000003</v>
      </c>
      <c r="F161">
        <f t="shared" si="2"/>
        <v>0.18788201402412313</v>
      </c>
    </row>
    <row r="162" spans="1:6">
      <c r="C162">
        <v>120</v>
      </c>
      <c r="D162">
        <v>41.28</v>
      </c>
      <c r="E162">
        <v>0.47639999999999999</v>
      </c>
      <c r="F162">
        <f t="shared" si="2"/>
        <v>0.17825157955426812</v>
      </c>
    </row>
    <row r="163" spans="1:6">
      <c r="C163">
        <v>140</v>
      </c>
      <c r="D163">
        <v>47.63</v>
      </c>
      <c r="E163">
        <v>0.4637</v>
      </c>
      <c r="F163">
        <f t="shared" si="2"/>
        <v>0.16887449882396188</v>
      </c>
    </row>
    <row r="164" spans="1:6">
      <c r="C164">
        <v>160</v>
      </c>
      <c r="D164">
        <v>53.98</v>
      </c>
      <c r="E164">
        <v>0.45100000000000001</v>
      </c>
      <c r="F164">
        <f t="shared" si="2"/>
        <v>0.15975077183320438</v>
      </c>
    </row>
    <row r="165" spans="1:6">
      <c r="A165">
        <v>24</v>
      </c>
      <c r="B165">
        <v>24</v>
      </c>
      <c r="C165" t="s">
        <v>25</v>
      </c>
      <c r="D165">
        <v>6.35</v>
      </c>
      <c r="E165">
        <v>0.59689999999999999</v>
      </c>
      <c r="F165">
        <f t="shared" si="2"/>
        <v>0.27982920533159311</v>
      </c>
    </row>
    <row r="166" spans="1:6">
      <c r="C166" t="s">
        <v>23</v>
      </c>
      <c r="D166">
        <v>9.5299999999999994</v>
      </c>
      <c r="E166">
        <v>0.59050000000000002</v>
      </c>
      <c r="F166">
        <f t="shared" si="2"/>
        <v>0.27386068194459712</v>
      </c>
    </row>
    <row r="167" spans="1:6">
      <c r="C167" t="s">
        <v>19</v>
      </c>
      <c r="D167">
        <v>12.7</v>
      </c>
      <c r="E167">
        <v>0.58420000000000005</v>
      </c>
      <c r="F167">
        <f t="shared" si="2"/>
        <v>0.26804825644257635</v>
      </c>
    </row>
    <row r="168" spans="1:6">
      <c r="C168">
        <v>30</v>
      </c>
      <c r="D168">
        <v>14.27</v>
      </c>
      <c r="E168">
        <v>0.58110000000000006</v>
      </c>
      <c r="F168">
        <f t="shared" si="2"/>
        <v>0.26521106055517452</v>
      </c>
    </row>
    <row r="169" spans="1:6">
      <c r="C169">
        <v>40</v>
      </c>
      <c r="D169">
        <v>17.48</v>
      </c>
      <c r="E169">
        <v>0.5746</v>
      </c>
      <c r="F169">
        <f t="shared" si="2"/>
        <v>0.25931111028182463</v>
      </c>
    </row>
    <row r="170" spans="1:6">
      <c r="C170">
        <v>60</v>
      </c>
      <c r="D170">
        <v>24.61</v>
      </c>
      <c r="E170">
        <v>0.56040000000000001</v>
      </c>
      <c r="F170">
        <f t="shared" si="2"/>
        <v>0.246652848082348</v>
      </c>
    </row>
    <row r="171" spans="1:6">
      <c r="C171">
        <v>80</v>
      </c>
      <c r="D171">
        <v>30.96</v>
      </c>
      <c r="E171">
        <v>0.54770000000000008</v>
      </c>
      <c r="F171">
        <f t="shared" si="2"/>
        <v>0.235600041830617</v>
      </c>
    </row>
    <row r="172" spans="1:6">
      <c r="C172">
        <v>100</v>
      </c>
      <c r="D172">
        <v>38.89</v>
      </c>
      <c r="E172">
        <v>0.53179999999999994</v>
      </c>
      <c r="F172">
        <f t="shared" si="2"/>
        <v>0.22211942848415492</v>
      </c>
    </row>
    <row r="173" spans="1:6">
      <c r="C173">
        <v>120</v>
      </c>
      <c r="D173">
        <v>46.02</v>
      </c>
      <c r="E173">
        <v>0.51760000000000006</v>
      </c>
      <c r="F173">
        <f t="shared" si="2"/>
        <v>0.21041583346025119</v>
      </c>
    </row>
    <row r="174" spans="1:6">
      <c r="C174">
        <v>140</v>
      </c>
      <c r="D174">
        <v>52.37</v>
      </c>
      <c r="E174">
        <v>0.50490000000000002</v>
      </c>
      <c r="F174">
        <f t="shared" si="2"/>
        <v>0.20021684925991276</v>
      </c>
    </row>
    <row r="175" spans="1:6">
      <c r="C175">
        <v>160</v>
      </c>
      <c r="D175">
        <v>59.54</v>
      </c>
      <c r="E175">
        <v>0.49049999999999999</v>
      </c>
      <c r="F175">
        <f t="shared" si="2"/>
        <v>0.18895914048133294</v>
      </c>
    </row>
    <row r="176" spans="1:6">
      <c r="A176">
        <v>26</v>
      </c>
      <c r="B176">
        <v>26</v>
      </c>
      <c r="C176">
        <v>10</v>
      </c>
      <c r="D176">
        <v>7.92</v>
      </c>
      <c r="E176">
        <v>0.64460000000000006</v>
      </c>
      <c r="F176">
        <f t="shared" si="2"/>
        <v>0.32634013113881655</v>
      </c>
    </row>
    <row r="177" spans="1:6">
      <c r="C177" t="s">
        <v>22</v>
      </c>
      <c r="D177">
        <v>9.5299999999999994</v>
      </c>
      <c r="E177">
        <v>0.64129999999999998</v>
      </c>
      <c r="F177">
        <f t="shared" si="2"/>
        <v>0.32300731759438428</v>
      </c>
    </row>
    <row r="178" spans="1:6">
      <c r="C178" t="s">
        <v>26</v>
      </c>
      <c r="D178">
        <v>12.7</v>
      </c>
      <c r="E178">
        <v>0.63500000000000001</v>
      </c>
      <c r="F178">
        <f t="shared" si="2"/>
        <v>0.31669217443593611</v>
      </c>
    </row>
    <row r="179" spans="1:6">
      <c r="A179">
        <v>28</v>
      </c>
      <c r="B179">
        <v>28</v>
      </c>
      <c r="C179">
        <v>10</v>
      </c>
      <c r="D179">
        <v>7.92</v>
      </c>
      <c r="E179">
        <v>0.69540000000000002</v>
      </c>
      <c r="F179">
        <f t="shared" si="2"/>
        <v>0.37980375491760759</v>
      </c>
    </row>
    <row r="180" spans="1:6">
      <c r="C180" t="s">
        <v>27</v>
      </c>
      <c r="D180">
        <v>9.5299999999999994</v>
      </c>
      <c r="E180">
        <v>0.69240000000000002</v>
      </c>
      <c r="F180">
        <f t="shared" si="2"/>
        <v>0.37653382820411868</v>
      </c>
    </row>
    <row r="181" spans="1:6">
      <c r="C181" t="s">
        <v>26</v>
      </c>
      <c r="D181">
        <v>12.7</v>
      </c>
      <c r="E181">
        <v>0.68579999999999997</v>
      </c>
      <c r="F181">
        <f t="shared" si="2"/>
        <v>0.36938975226207582</v>
      </c>
    </row>
    <row r="182" spans="1:6">
      <c r="C182">
        <v>30</v>
      </c>
      <c r="D182">
        <v>15.88</v>
      </c>
      <c r="E182">
        <v>0.6794</v>
      </c>
      <c r="F182">
        <f t="shared" si="2"/>
        <v>0.36252750859698657</v>
      </c>
    </row>
    <row r="183" spans="1:6">
      <c r="A183">
        <v>30</v>
      </c>
      <c r="B183">
        <v>30</v>
      </c>
      <c r="C183" t="s">
        <v>28</v>
      </c>
      <c r="D183">
        <v>7.92</v>
      </c>
      <c r="E183">
        <v>0.74609999999999999</v>
      </c>
      <c r="F183">
        <f t="shared" si="2"/>
        <v>0.43720383356125486</v>
      </c>
    </row>
    <row r="184" spans="1:6">
      <c r="C184" t="s">
        <v>22</v>
      </c>
      <c r="D184">
        <v>9.5299999999999994</v>
      </c>
      <c r="E184">
        <v>0.74299999999999999</v>
      </c>
      <c r="F184">
        <f t="shared" si="2"/>
        <v>0.43357827070539795</v>
      </c>
    </row>
    <row r="185" spans="1:6">
      <c r="C185" t="s">
        <v>26</v>
      </c>
      <c r="D185">
        <v>12.7</v>
      </c>
      <c r="E185">
        <v>0.73660000000000003</v>
      </c>
      <c r="F185">
        <f t="shared" si="2"/>
        <v>0.42614098992099564</v>
      </c>
    </row>
    <row r="186" spans="1:6">
      <c r="C186">
        <v>30</v>
      </c>
      <c r="D186">
        <v>15.88</v>
      </c>
      <c r="E186">
        <v>0.73020000000000007</v>
      </c>
      <c r="F186">
        <f t="shared" si="2"/>
        <v>0.41876804895413883</v>
      </c>
    </row>
    <row r="187" spans="1:6">
      <c r="A187">
        <v>32</v>
      </c>
      <c r="B187">
        <v>32</v>
      </c>
      <c r="C187">
        <v>10</v>
      </c>
      <c r="D187">
        <v>7.92</v>
      </c>
      <c r="E187">
        <v>0.79720000000000002</v>
      </c>
      <c r="F187">
        <f t="shared" si="2"/>
        <v>0.49914239832394741</v>
      </c>
    </row>
    <row r="188" spans="1:6">
      <c r="C188" t="s">
        <v>22</v>
      </c>
      <c r="D188">
        <v>9.5299999999999994</v>
      </c>
      <c r="E188">
        <v>0.79400000000000004</v>
      </c>
      <c r="F188">
        <f t="shared" si="2"/>
        <v>0.4951432765396338</v>
      </c>
    </row>
    <row r="189" spans="1:6">
      <c r="C189" t="s">
        <v>26</v>
      </c>
      <c r="D189">
        <v>12.7</v>
      </c>
      <c r="E189">
        <v>0.78760000000000008</v>
      </c>
      <c r="F189">
        <f t="shared" si="2"/>
        <v>0.4871932878341656</v>
      </c>
    </row>
    <row r="190" spans="1:6">
      <c r="C190">
        <v>30</v>
      </c>
      <c r="D190">
        <v>15.88</v>
      </c>
      <c r="E190">
        <v>0.78120000000000001</v>
      </c>
      <c r="F190">
        <f t="shared" si="2"/>
        <v>0.47930763894624284</v>
      </c>
    </row>
    <row r="191" spans="1:6">
      <c r="C191">
        <v>40</v>
      </c>
      <c r="D191">
        <v>17.48</v>
      </c>
      <c r="E191">
        <v>0.77800000000000002</v>
      </c>
      <c r="F191">
        <f t="shared" si="2"/>
        <v>0.47538894193386105</v>
      </c>
    </row>
    <row r="192" spans="1:6">
      <c r="A192">
        <v>34</v>
      </c>
      <c r="B192">
        <v>34</v>
      </c>
      <c r="C192">
        <v>10</v>
      </c>
      <c r="D192">
        <v>7.92</v>
      </c>
      <c r="E192">
        <v>0.84820000000000007</v>
      </c>
      <c r="F192">
        <f t="shared" si="2"/>
        <v>0.56504939936470966</v>
      </c>
    </row>
    <row r="193" spans="1:6">
      <c r="C193" t="s">
        <v>22</v>
      </c>
      <c r="D193">
        <v>9.5299999999999994</v>
      </c>
      <c r="E193">
        <v>0.84499999999999997</v>
      </c>
      <c r="F193">
        <f t="shared" si="2"/>
        <v>0.56079392361986302</v>
      </c>
    </row>
    <row r="194" spans="1:6">
      <c r="C194" t="s">
        <v>26</v>
      </c>
      <c r="D194">
        <v>12.7</v>
      </c>
      <c r="E194">
        <v>0.83860000000000001</v>
      </c>
      <c r="F194">
        <f t="shared" si="2"/>
        <v>0.55233122699332904</v>
      </c>
    </row>
    <row r="195" spans="1:6">
      <c r="C195">
        <v>30</v>
      </c>
      <c r="D195">
        <v>15.88</v>
      </c>
      <c r="E195">
        <v>0.83220000000000005</v>
      </c>
      <c r="F195">
        <f t="shared" ref="F195:F203" si="3">PI()*E195*E195/4</f>
        <v>0.54393287018434044</v>
      </c>
    </row>
    <row r="196" spans="1:6">
      <c r="C196">
        <v>40</v>
      </c>
      <c r="D196">
        <v>17.48</v>
      </c>
      <c r="E196">
        <v>0.82899999999999996</v>
      </c>
      <c r="F196">
        <f t="shared" si="3"/>
        <v>0.53975781921142563</v>
      </c>
    </row>
    <row r="197" spans="1:6">
      <c r="A197">
        <v>36</v>
      </c>
      <c r="B197">
        <v>36</v>
      </c>
      <c r="C197">
        <v>10</v>
      </c>
      <c r="D197">
        <v>7.92</v>
      </c>
      <c r="E197">
        <v>0.8982</v>
      </c>
      <c r="F197">
        <f t="shared" si="3"/>
        <v>0.6336303669925748</v>
      </c>
    </row>
    <row r="198" spans="1:6">
      <c r="C198" t="s">
        <v>22</v>
      </c>
      <c r="D198">
        <v>9.5299999999999994</v>
      </c>
      <c r="E198">
        <v>0.89490000000000003</v>
      </c>
      <c r="F198">
        <f t="shared" si="3"/>
        <v>0.62898298541817454</v>
      </c>
    </row>
    <row r="199" spans="1:6">
      <c r="C199" t="s">
        <v>26</v>
      </c>
      <c r="D199">
        <v>12.7</v>
      </c>
      <c r="E199">
        <v>0.88860000000000006</v>
      </c>
      <c r="F199">
        <f t="shared" si="3"/>
        <v>0.62015821238433266</v>
      </c>
    </row>
    <row r="200" spans="1:6">
      <c r="A200">
        <v>42</v>
      </c>
      <c r="B200">
        <v>42</v>
      </c>
      <c r="C200" t="s">
        <v>22</v>
      </c>
      <c r="D200">
        <v>9.5299999999999994</v>
      </c>
      <c r="E200">
        <v>1.048</v>
      </c>
      <c r="F200">
        <f t="shared" si="3"/>
        <v>0.86260594445207106</v>
      </c>
    </row>
    <row r="201" spans="1:6">
      <c r="C201" t="s">
        <v>26</v>
      </c>
      <c r="D201">
        <v>12.7</v>
      </c>
      <c r="E201">
        <v>1.042</v>
      </c>
      <c r="F201">
        <f t="shared" si="3"/>
        <v>0.85275705148306713</v>
      </c>
    </row>
    <row r="202" spans="1:6">
      <c r="A202">
        <v>48</v>
      </c>
      <c r="B202">
        <v>48</v>
      </c>
      <c r="C202" t="s">
        <v>22</v>
      </c>
      <c r="D202">
        <v>9.5299999999999994</v>
      </c>
      <c r="E202">
        <v>1.2</v>
      </c>
      <c r="F202">
        <f t="shared" si="3"/>
        <v>1.1309733552923256</v>
      </c>
    </row>
    <row r="203" spans="1:6">
      <c r="C203" t="s">
        <v>19</v>
      </c>
      <c r="D203">
        <v>12.7</v>
      </c>
      <c r="E203">
        <v>1.194</v>
      </c>
      <c r="F203">
        <f t="shared" si="3"/>
        <v>1.1196918960732845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Charts</vt:lpstr>
      </vt:variant>
      <vt:variant>
        <vt:i4>1</vt:i4>
      </vt:variant>
    </vt:vector>
  </HeadingPairs>
  <TitlesOfParts>
    <vt:vector size="5" baseType="lpstr">
      <vt:lpstr>Main</vt:lpstr>
      <vt:lpstr>PumpCurveData</vt:lpstr>
      <vt:lpstr>ControlValve</vt:lpstr>
      <vt:lpstr>Pipe</vt:lpstr>
      <vt:lpstr>CurveEnvelope</vt:lpstr>
    </vt:vector>
  </TitlesOfParts>
  <Company>Grizli777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Shubham</dc:creator>
  <cp:lastModifiedBy>Shubham</cp:lastModifiedBy>
  <dcterms:created xsi:type="dcterms:W3CDTF">2020-06-02T04:55:46Z</dcterms:created>
  <dcterms:modified xsi:type="dcterms:W3CDTF">2020-06-06T05:25:03Z</dcterms:modified>
</cp:coreProperties>
</file>